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uladbrokes-my.sharepoint.com/personal/samuel_kelly_entaingroup_co_nz/Documents/"/>
    </mc:Choice>
  </mc:AlternateContent>
  <xr:revisionPtr revIDLastSave="1781" documentId="8_{678F7617-6314-4BC4-ABB0-2AED56B4B50B}" xr6:coauthVersionLast="47" xr6:coauthVersionMax="47" xr10:uidLastSave="{72136FE7-FF3C-489C-B10F-B63BFE180786}"/>
  <bookViews>
    <workbookView xWindow="-110" yWindow="-110" windowWidth="19420" windowHeight="10300" firstSheet="1" activeTab="3" xr2:uid="{7F71E671-27E1-4AE6-838A-0CF2A192B65D}"/>
  </bookViews>
  <sheets>
    <sheet name="Cities Table" sheetId="2" r:id="rId1"/>
    <sheet name="Livability Raw Data Table" sheetId="3" r:id="rId2"/>
    <sheet name="Lovability Raw Data Table" sheetId="4" r:id="rId3"/>
    <sheet name="Prosperity Raw Data Table" sheetId="5" r:id="rId4"/>
    <sheet name="Overall City Z-Score Table" sheetId="10" r:id="rId5"/>
    <sheet name="Livability Z-Score Table" sheetId="6" r:id="rId6"/>
    <sheet name="Lovability Z-Score Table" sheetId="7" r:id="rId7"/>
    <sheet name="Prosperity Z-Score Table" sheetId="8" r:id="rId8"/>
  </sheets>
  <definedNames>
    <definedName name="ExternalData_1" localSheetId="0" hidden="1">'Cities Table'!$B$1:$E$9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6" l="1"/>
  <c r="G3" i="6"/>
  <c r="G4" i="6"/>
  <c r="G5" i="6"/>
  <c r="G6" i="6"/>
  <c r="G7" i="6"/>
  <c r="G8" i="6"/>
  <c r="G9" i="6"/>
  <c r="M2" i="3"/>
  <c r="M3" i="3"/>
  <c r="M4" i="3"/>
  <c r="M5" i="3"/>
  <c r="M6" i="3"/>
  <c r="M7" i="3"/>
  <c r="M8" i="3"/>
  <c r="M9" i="3"/>
  <c r="G4" i="8"/>
  <c r="S3" i="5"/>
  <c r="U3" i="3"/>
  <c r="K2" i="6"/>
  <c r="K3" i="6"/>
  <c r="K4" i="6"/>
  <c r="K5" i="6"/>
  <c r="K6" i="6"/>
  <c r="K7" i="6"/>
  <c r="K8" i="6"/>
  <c r="K9" i="6"/>
  <c r="U2" i="3"/>
  <c r="U4" i="3"/>
  <c r="U5" i="3"/>
  <c r="U6" i="3"/>
  <c r="U7" i="3"/>
  <c r="U8" i="3"/>
  <c r="U9" i="3"/>
  <c r="T2" i="3"/>
  <c r="T3" i="3"/>
  <c r="T4" i="3"/>
  <c r="T5" i="3"/>
  <c r="T6" i="3"/>
  <c r="T7" i="3"/>
  <c r="T8" i="3"/>
  <c r="T9" i="3"/>
  <c r="H9" i="8"/>
  <c r="H8" i="8"/>
  <c r="H7" i="8"/>
  <c r="H6" i="8"/>
  <c r="H5" i="8"/>
  <c r="H4" i="8"/>
  <c r="H3" i="8"/>
  <c r="H2" i="8"/>
  <c r="O7" i="5"/>
  <c r="O5" i="5"/>
  <c r="O4" i="5"/>
  <c r="L9" i="8"/>
  <c r="L8" i="8"/>
  <c r="L7" i="8"/>
  <c r="L6" i="8"/>
  <c r="L5" i="8"/>
  <c r="L4" i="8"/>
  <c r="L3" i="8"/>
  <c r="L2" i="8"/>
  <c r="K9" i="8"/>
  <c r="K8" i="8"/>
  <c r="K7" i="8"/>
  <c r="K6" i="8"/>
  <c r="K5" i="8"/>
  <c r="K4" i="8"/>
  <c r="K3" i="8"/>
  <c r="K2" i="8"/>
  <c r="J9" i="8"/>
  <c r="J8" i="8"/>
  <c r="J7" i="8"/>
  <c r="J6" i="8"/>
  <c r="J5" i="8"/>
  <c r="J4" i="8"/>
  <c r="J3" i="8"/>
  <c r="J2" i="8"/>
  <c r="I9" i="8"/>
  <c r="I8" i="8"/>
  <c r="I7" i="8"/>
  <c r="I6" i="8"/>
  <c r="I5" i="8"/>
  <c r="I4" i="8"/>
  <c r="I3" i="8"/>
  <c r="I2" i="8"/>
  <c r="G9" i="8"/>
  <c r="G8" i="8"/>
  <c r="G7" i="8"/>
  <c r="G6" i="8"/>
  <c r="G5" i="8"/>
  <c r="G3" i="8"/>
  <c r="G2" i="8"/>
  <c r="F9" i="8"/>
  <c r="F8" i="8"/>
  <c r="F7" i="8"/>
  <c r="F6" i="8"/>
  <c r="F5" i="8"/>
  <c r="F4" i="8"/>
  <c r="F3" i="8"/>
  <c r="F2" i="8"/>
  <c r="E9" i="8"/>
  <c r="E8" i="8"/>
  <c r="E7" i="8"/>
  <c r="E6" i="8"/>
  <c r="E5" i="8"/>
  <c r="E4" i="8"/>
  <c r="E3" i="8"/>
  <c r="E2" i="8"/>
  <c r="D9" i="8"/>
  <c r="D8" i="8"/>
  <c r="D7" i="8"/>
  <c r="D6" i="8"/>
  <c r="D5" i="8"/>
  <c r="D4" i="8"/>
  <c r="D3" i="8"/>
  <c r="D2" i="8"/>
  <c r="C9" i="8"/>
  <c r="C8" i="8"/>
  <c r="C7" i="8"/>
  <c r="C6" i="8"/>
  <c r="C5" i="8"/>
  <c r="C4" i="8"/>
  <c r="C3" i="8"/>
  <c r="C2" i="8"/>
  <c r="I9" i="7"/>
  <c r="I8" i="7"/>
  <c r="I7" i="7"/>
  <c r="I6" i="7"/>
  <c r="I5" i="7"/>
  <c r="I4" i="7"/>
  <c r="I3" i="7"/>
  <c r="I2" i="7"/>
  <c r="H9" i="7"/>
  <c r="H8" i="7"/>
  <c r="H7" i="7"/>
  <c r="H6" i="7"/>
  <c r="H5" i="7"/>
  <c r="H4" i="7"/>
  <c r="H3" i="7"/>
  <c r="H2" i="7"/>
  <c r="G9" i="7"/>
  <c r="G8" i="7"/>
  <c r="G7" i="7"/>
  <c r="G6" i="7"/>
  <c r="G5" i="7"/>
  <c r="G4" i="7"/>
  <c r="G3" i="7"/>
  <c r="G2" i="7"/>
  <c r="F9" i="7"/>
  <c r="F8" i="7"/>
  <c r="F7" i="7"/>
  <c r="F6" i="7"/>
  <c r="F5" i="7"/>
  <c r="F4" i="7"/>
  <c r="F3" i="7"/>
  <c r="F2" i="7"/>
  <c r="E9" i="7"/>
  <c r="E8" i="7"/>
  <c r="E7" i="7"/>
  <c r="E6" i="7"/>
  <c r="E5" i="7"/>
  <c r="E4" i="7"/>
  <c r="E3" i="7"/>
  <c r="E2" i="7"/>
  <c r="D9" i="7"/>
  <c r="D8" i="7"/>
  <c r="D7" i="7"/>
  <c r="D6" i="7"/>
  <c r="D5" i="7"/>
  <c r="D4" i="7"/>
  <c r="D3" i="7"/>
  <c r="D2" i="7"/>
  <c r="C9" i="7"/>
  <c r="C8" i="7"/>
  <c r="C7" i="7"/>
  <c r="C6" i="7"/>
  <c r="C5" i="7"/>
  <c r="C4" i="7"/>
  <c r="C3" i="7"/>
  <c r="C2" i="7"/>
  <c r="M9" i="6"/>
  <c r="M8" i="6"/>
  <c r="M7" i="6"/>
  <c r="M6" i="6"/>
  <c r="M5" i="6"/>
  <c r="M4" i="6"/>
  <c r="M3" i="6"/>
  <c r="M2" i="6"/>
  <c r="L9" i="6"/>
  <c r="L8" i="6"/>
  <c r="L7" i="6"/>
  <c r="L6" i="6"/>
  <c r="L5" i="6"/>
  <c r="L4" i="6"/>
  <c r="L3" i="6"/>
  <c r="L2" i="6"/>
  <c r="J9" i="6"/>
  <c r="J8" i="6"/>
  <c r="J7" i="6"/>
  <c r="J6" i="6"/>
  <c r="J5" i="6"/>
  <c r="J4" i="6"/>
  <c r="J3" i="6"/>
  <c r="J2" i="6"/>
  <c r="I9" i="6"/>
  <c r="I8" i="6"/>
  <c r="I7" i="6"/>
  <c r="I6" i="6"/>
  <c r="I5" i="6"/>
  <c r="I4" i="6"/>
  <c r="I3" i="6"/>
  <c r="I2" i="6"/>
  <c r="H9" i="6"/>
  <c r="H8" i="6"/>
  <c r="H7" i="6"/>
  <c r="H6" i="6"/>
  <c r="H5" i="6"/>
  <c r="H4" i="6"/>
  <c r="H3" i="6"/>
  <c r="H2" i="6"/>
  <c r="F9" i="6"/>
  <c r="F8" i="6"/>
  <c r="F7" i="6"/>
  <c r="F6" i="6"/>
  <c r="F5" i="6"/>
  <c r="F4" i="6"/>
  <c r="F3" i="6"/>
  <c r="F2" i="6"/>
  <c r="E9" i="6"/>
  <c r="E8" i="6"/>
  <c r="E7" i="6"/>
  <c r="E6" i="6"/>
  <c r="E5" i="6"/>
  <c r="E4" i="6"/>
  <c r="E3" i="6"/>
  <c r="E2" i="6"/>
  <c r="D9" i="6"/>
  <c r="D8" i="6"/>
  <c r="D7" i="6"/>
  <c r="D6" i="6"/>
  <c r="D5" i="6"/>
  <c r="D4" i="6"/>
  <c r="D3" i="6"/>
  <c r="D2" i="6"/>
  <c r="C9" i="6"/>
  <c r="C8" i="6"/>
  <c r="C7" i="6"/>
  <c r="C6" i="6"/>
  <c r="C5" i="6"/>
  <c r="C4" i="6"/>
  <c r="C3" i="6"/>
  <c r="C2" i="6"/>
  <c r="Y2" i="3"/>
  <c r="Y3" i="3"/>
  <c r="Y4" i="3"/>
  <c r="Y5" i="3"/>
  <c r="Y6" i="3"/>
  <c r="Y7" i="3"/>
  <c r="Y8" i="3"/>
  <c r="Y9" i="3"/>
  <c r="W2" i="3"/>
  <c r="W3" i="3"/>
  <c r="W4" i="3"/>
  <c r="W5" i="3"/>
  <c r="W6" i="3"/>
  <c r="W7" i="3"/>
  <c r="W8" i="3"/>
  <c r="W9" i="3"/>
  <c r="S9" i="3"/>
  <c r="S2" i="3"/>
  <c r="S3" i="3"/>
  <c r="S4" i="3"/>
  <c r="S5" i="3"/>
  <c r="S6" i="3"/>
  <c r="S7" i="3"/>
  <c r="S8" i="3"/>
  <c r="Q2" i="3"/>
  <c r="Q3" i="3"/>
  <c r="Q4" i="3"/>
  <c r="Q5" i="3"/>
  <c r="Q6" i="3"/>
  <c r="Q7" i="3"/>
  <c r="Q8" i="3"/>
  <c r="Q9" i="3"/>
  <c r="O2" i="3"/>
  <c r="O3" i="3"/>
  <c r="O4" i="3"/>
  <c r="O5" i="3"/>
  <c r="O6" i="3"/>
  <c r="O7" i="3"/>
  <c r="O8" i="3"/>
  <c r="O9" i="3"/>
  <c r="K2" i="3"/>
  <c r="K3" i="3"/>
  <c r="K4" i="3"/>
  <c r="K5" i="3"/>
  <c r="K6" i="3"/>
  <c r="K7" i="3"/>
  <c r="K8" i="3"/>
  <c r="K9" i="3"/>
  <c r="I2" i="3"/>
  <c r="I3" i="3"/>
  <c r="I4" i="3"/>
  <c r="I5" i="3"/>
  <c r="I6" i="3"/>
  <c r="I7" i="3"/>
  <c r="I8" i="3"/>
  <c r="I9" i="3"/>
  <c r="G2" i="3"/>
  <c r="G3" i="3"/>
  <c r="G4" i="3"/>
  <c r="G5" i="3"/>
  <c r="G6" i="3"/>
  <c r="G7" i="3"/>
  <c r="G8" i="3"/>
  <c r="G9" i="3"/>
  <c r="E2" i="3"/>
  <c r="E3" i="3"/>
  <c r="E4" i="3"/>
  <c r="E5" i="3"/>
  <c r="E6" i="3"/>
  <c r="E7" i="3"/>
  <c r="E8" i="3"/>
  <c r="E9" i="3"/>
  <c r="Q2" i="4"/>
  <c r="Q3" i="4"/>
  <c r="Q4" i="4"/>
  <c r="Q5" i="4"/>
  <c r="Q6" i="4"/>
  <c r="Q7" i="4"/>
  <c r="Q8" i="4"/>
  <c r="Q9" i="4"/>
  <c r="O2" i="4"/>
  <c r="O3" i="4"/>
  <c r="O4" i="4"/>
  <c r="O5" i="4"/>
  <c r="O6" i="4"/>
  <c r="O7" i="4"/>
  <c r="O8" i="4"/>
  <c r="O9" i="4"/>
  <c r="M2" i="4"/>
  <c r="M3" i="4"/>
  <c r="M4" i="4"/>
  <c r="M5" i="4"/>
  <c r="M6" i="4"/>
  <c r="M7" i="4"/>
  <c r="M8" i="4"/>
  <c r="M9" i="4"/>
  <c r="K2" i="4"/>
  <c r="K3" i="4"/>
  <c r="K4" i="4"/>
  <c r="K5" i="4"/>
  <c r="K6" i="4"/>
  <c r="K7" i="4"/>
  <c r="K8" i="4"/>
  <c r="K9" i="4"/>
  <c r="I2" i="4"/>
  <c r="I3" i="4"/>
  <c r="I4" i="4"/>
  <c r="I5" i="4"/>
  <c r="I6" i="4"/>
  <c r="I7" i="4"/>
  <c r="I8" i="4"/>
  <c r="I9" i="4"/>
  <c r="G2" i="4"/>
  <c r="G3" i="4"/>
  <c r="G4" i="4"/>
  <c r="G5" i="4"/>
  <c r="G6" i="4"/>
  <c r="G7" i="4"/>
  <c r="G8" i="4"/>
  <c r="G9" i="4"/>
  <c r="E2" i="4"/>
  <c r="E3" i="4"/>
  <c r="E4" i="4"/>
  <c r="E5" i="4"/>
  <c r="E6" i="4"/>
  <c r="E7" i="4"/>
  <c r="E8" i="4"/>
  <c r="E9" i="4"/>
  <c r="W2" i="5"/>
  <c r="W3" i="5"/>
  <c r="W4" i="5"/>
  <c r="W5" i="5"/>
  <c r="W6" i="5"/>
  <c r="W7" i="5"/>
  <c r="W8" i="5"/>
  <c r="W9" i="5"/>
  <c r="U3" i="5"/>
  <c r="U4" i="5"/>
  <c r="U5" i="5"/>
  <c r="U6" i="5"/>
  <c r="U7" i="5"/>
  <c r="U8" i="5"/>
  <c r="U9" i="5"/>
  <c r="U2" i="5"/>
  <c r="S2" i="5"/>
  <c r="S4" i="5"/>
  <c r="S5" i="5"/>
  <c r="S6" i="5"/>
  <c r="S7" i="5"/>
  <c r="S8" i="5"/>
  <c r="S9" i="5"/>
  <c r="Q2" i="5"/>
  <c r="Q3" i="5"/>
  <c r="Q4" i="5"/>
  <c r="Q5" i="5"/>
  <c r="Q6" i="5"/>
  <c r="Q7" i="5"/>
  <c r="Q8" i="5"/>
  <c r="Q9" i="5"/>
  <c r="O2" i="5"/>
  <c r="O3" i="5"/>
  <c r="O6" i="5"/>
  <c r="O8" i="5"/>
  <c r="O9" i="5"/>
  <c r="M2" i="5"/>
  <c r="M3" i="5"/>
  <c r="M4" i="5"/>
  <c r="M5" i="5"/>
  <c r="M6" i="5"/>
  <c r="M7" i="5"/>
  <c r="M8" i="5"/>
  <c r="M9" i="5"/>
  <c r="K2" i="5"/>
  <c r="K3" i="5"/>
  <c r="K4" i="5"/>
  <c r="K5" i="5"/>
  <c r="K6" i="5"/>
  <c r="K7" i="5"/>
  <c r="K8" i="5"/>
  <c r="K9" i="5"/>
  <c r="G2" i="5"/>
  <c r="G3" i="5"/>
  <c r="G4" i="5"/>
  <c r="G5" i="5"/>
  <c r="G6" i="5"/>
  <c r="G7" i="5"/>
  <c r="G8" i="5"/>
  <c r="G9" i="5"/>
  <c r="E4" i="5"/>
  <c r="E2" i="5"/>
  <c r="E3" i="5"/>
  <c r="E5" i="5"/>
  <c r="E6" i="5"/>
  <c r="E7" i="5"/>
  <c r="E8" i="5"/>
  <c r="E9" i="5"/>
  <c r="I2" i="5"/>
  <c r="I3" i="5"/>
  <c r="I4" i="5"/>
  <c r="I5" i="5"/>
  <c r="I6" i="5"/>
  <c r="I7" i="5"/>
  <c r="I8" i="5"/>
  <c r="I9" i="5"/>
  <c r="J6" i="7" l="1"/>
  <c r="E6" i="10" s="1"/>
  <c r="J7" i="7"/>
  <c r="E7" i="10" s="1"/>
  <c r="J8" i="7"/>
  <c r="E8" i="10" s="1"/>
  <c r="R7" i="4"/>
  <c r="J9" i="7"/>
  <c r="R8" i="4"/>
  <c r="M5" i="8"/>
  <c r="M6" i="8"/>
  <c r="M7" i="8"/>
  <c r="J3" i="7"/>
  <c r="J2" i="7"/>
  <c r="J4" i="7"/>
  <c r="J5" i="7"/>
  <c r="N5" i="6"/>
  <c r="N9" i="6"/>
  <c r="N8" i="6"/>
  <c r="N7" i="6"/>
  <c r="N2" i="6"/>
  <c r="N3" i="6"/>
  <c r="N4" i="6"/>
  <c r="N6" i="6"/>
  <c r="M2" i="8"/>
  <c r="M9" i="8"/>
  <c r="M4" i="8"/>
  <c r="M8" i="8"/>
  <c r="M3" i="8"/>
  <c r="F8" i="10" l="1"/>
  <c r="X8" i="5"/>
  <c r="F2" i="10"/>
  <c r="X2" i="5"/>
  <c r="F7" i="10"/>
  <c r="X7" i="5"/>
  <c r="F6" i="10"/>
  <c r="X6" i="5"/>
  <c r="F5" i="10"/>
  <c r="X5" i="5"/>
  <c r="F3" i="10"/>
  <c r="X3" i="5"/>
  <c r="F4" i="10"/>
  <c r="X4" i="5"/>
  <c r="F9" i="10"/>
  <c r="X9" i="5"/>
  <c r="R6" i="4"/>
  <c r="E9" i="10"/>
  <c r="R9" i="4"/>
  <c r="E5" i="10"/>
  <c r="R5" i="4"/>
  <c r="E4" i="10"/>
  <c r="R4" i="4"/>
  <c r="E2" i="10"/>
  <c r="R2" i="4"/>
  <c r="E3" i="10"/>
  <c r="R3" i="4"/>
  <c r="D4" i="10"/>
  <c r="Z4" i="3"/>
  <c r="D7" i="10"/>
  <c r="Z7" i="3"/>
  <c r="D5" i="10"/>
  <c r="Z5" i="3"/>
  <c r="D2" i="10"/>
  <c r="Z2" i="3"/>
  <c r="D8" i="10"/>
  <c r="Z8" i="3"/>
  <c r="D6" i="10"/>
  <c r="Z6" i="3"/>
  <c r="D3" i="10"/>
  <c r="Z3" i="3"/>
  <c r="D9" i="10"/>
  <c r="Z9" i="3"/>
  <c r="G8" i="10" l="1"/>
  <c r="G7" i="10"/>
  <c r="G5" i="10"/>
  <c r="G9" i="10"/>
  <c r="G3" i="10"/>
  <c r="G4" i="10"/>
  <c r="G6" i="10"/>
  <c r="G2" i="10"/>
  <c r="H9" i="10" l="1"/>
  <c r="H4" i="10"/>
  <c r="H8" i="10"/>
  <c r="H7" i="10"/>
  <c r="H6" i="10"/>
  <c r="H3" i="10"/>
  <c r="H5" i="10"/>
  <c r="H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F73233-94BA-4585-929F-ECBEB763A5EA}"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<sst xmlns="http://schemas.openxmlformats.org/spreadsheetml/2006/main" count="460" uniqueCount="271">
  <si>
    <t>SYD</t>
  </si>
  <si>
    <t>MEL</t>
  </si>
  <si>
    <t>BRI</t>
  </si>
  <si>
    <t>PER</t>
  </si>
  <si>
    <t>ADL</t>
  </si>
  <si>
    <t>Sydney</t>
  </si>
  <si>
    <t>Melbourne</t>
  </si>
  <si>
    <t>Brisbane</t>
  </si>
  <si>
    <t>Perth</t>
  </si>
  <si>
    <t>Adelaide</t>
  </si>
  <si>
    <t>GLD</t>
  </si>
  <si>
    <t>Gold Coast</t>
  </si>
  <si>
    <t>NEW</t>
  </si>
  <si>
    <t>Newcastle</t>
  </si>
  <si>
    <t>CAN</t>
  </si>
  <si>
    <t>Canberra</t>
  </si>
  <si>
    <t>NSW</t>
  </si>
  <si>
    <t>VIC</t>
  </si>
  <si>
    <t>QLD</t>
  </si>
  <si>
    <t>WA</t>
  </si>
  <si>
    <t>SA</t>
  </si>
  <si>
    <t>ACT</t>
  </si>
  <si>
    <t>New South Wales</t>
  </si>
  <si>
    <t>Victoria</t>
  </si>
  <si>
    <t>Queensland</t>
  </si>
  <si>
    <t>Western Australia</t>
  </si>
  <si>
    <t>South Australia</t>
  </si>
  <si>
    <t>Australian Capital Territory</t>
  </si>
  <si>
    <t>BIKE SCORE</t>
  </si>
  <si>
    <t>AIR QUALITY</t>
  </si>
  <si>
    <t>HEAT STRESS DAYS</t>
  </si>
  <si>
    <t>RENT TO INCOME RATIO</t>
  </si>
  <si>
    <t>SIGHTS &amp; LANDMARKS</t>
  </si>
  <si>
    <t>CITY ID</t>
  </si>
  <si>
    <t>CITY NAME</t>
  </si>
  <si>
    <t>LIFE EXPECTANCY</t>
  </si>
  <si>
    <t>STATE ID</t>
  </si>
  <si>
    <t>STATE NAME</t>
  </si>
  <si>
    <t>METRO POPULATION  2025</t>
  </si>
  <si>
    <t>NIGHTLIFE</t>
  </si>
  <si>
    <t>SHOPPING</t>
  </si>
  <si>
    <t>RESTAURANTS</t>
  </si>
  <si>
    <t>GOOGLE TRENDS</t>
  </si>
  <si>
    <t>MUSEUMS</t>
  </si>
  <si>
    <t>ATTRACTIONS</t>
  </si>
  <si>
    <t>LABOUR FORCE PARTICIPATION</t>
  </si>
  <si>
    <t>LARGE COMPANIES</t>
  </si>
  <si>
    <t>UNIVERSITY</t>
  </si>
  <si>
    <t>BUSINESS ECOSYSTEM</t>
  </si>
  <si>
    <t>UNEMPLOYMENT RATE</t>
  </si>
  <si>
    <t>NATURE &amp; PARKS</t>
  </si>
  <si>
    <t>WALK SCORE</t>
  </si>
  <si>
    <t>Number of parks and nature places in the city rated above 4 stars on TripAdvisor.</t>
  </si>
  <si>
    <t>Number of sights and landmarks in the city rated above 4 stars on TripAdvisor.</t>
  </si>
  <si>
    <t>MEDIAN MONTHLY RENT</t>
  </si>
  <si>
    <t>MEDIAN MONTLY HOUSEHOLD INCOME</t>
  </si>
  <si>
    <t>Median monthly rent as a % of median monthly income</t>
  </si>
  <si>
    <t>As monthly income numbers were taken from 2021, these numbers may appear higher than they actually are</t>
  </si>
  <si>
    <t>Same metrics used by the Resonance study</t>
  </si>
  <si>
    <t>Number of nightlife experiences rated above 4 stars on TripAdvisor</t>
  </si>
  <si>
    <t>Total number of restaurants listed within a city on TripAdvisor</t>
  </si>
  <si>
    <t>Number of shopping experiences rated above 4 stars on TripAdvisor</t>
  </si>
  <si>
    <t>CULTURE</t>
  </si>
  <si>
    <t>Total number of concerts, shows and events rated above 4 stars on TripAdvisor</t>
  </si>
  <si>
    <t>Total number of museums rated above 4 stars on TripAdvisor</t>
  </si>
  <si>
    <t>Total number of zoos, aquariums, amusement parks and gaming attractions rated above 4 stars on TripAdvisor</t>
  </si>
  <si>
    <t>Popularity of a city on Google Trends over the past 12 months in relation to one another</t>
  </si>
  <si>
    <t>Same metrics used by Resonance study</t>
  </si>
  <si>
    <t>EDUCATIONAL ATTAINMENT</t>
  </si>
  <si>
    <t>Number of ASX listed companies with over 1000 employees HQ'd in the city</t>
  </si>
  <si>
    <t>Data from various company datasets</t>
  </si>
  <si>
    <t>Number of direct destinations that can be reached from the cities major airport</t>
  </si>
  <si>
    <t>Data from Flightsfrom.com</t>
  </si>
  <si>
    <t>Size of the largest convention centre in square feet</t>
  </si>
  <si>
    <t>Data from the convention centres websites</t>
  </si>
  <si>
    <t>Highest ranked university in the city</t>
  </si>
  <si>
    <t>Metric Description</t>
  </si>
  <si>
    <t>Source</t>
  </si>
  <si>
    <t>Notes</t>
  </si>
  <si>
    <t>TripAdvisor.com</t>
  </si>
  <si>
    <t>WalkScore.com</t>
  </si>
  <si>
    <t>peopleforbikes.org</t>
  </si>
  <si>
    <t>IQAir.com</t>
  </si>
  <si>
    <t>Extremeweatherwatch.com and Australian Meteorology</t>
  </si>
  <si>
    <t>No data from Gold Coast and Canberra on extremeweatherwatch. Less accurate data on Australian meterology</t>
  </si>
  <si>
    <t>Numbeo.com</t>
  </si>
  <si>
    <t>Median montly cost of renting a 1 bedroom apartment in the City Centre as of December 2025.</t>
  </si>
  <si>
    <t>More recent, accurate data was not available for 2025</t>
  </si>
  <si>
    <t>Data taken from the 2021 Australian Census.</t>
  </si>
  <si>
    <t>Median monthly household income.</t>
  </si>
  <si>
    <t>Air Quality rating</t>
  </si>
  <si>
    <t xml:space="preserve">Average number of days per year since 2000 with maximum tempretures of 35c or more. </t>
  </si>
  <si>
    <t>trends.google.com</t>
  </si>
  <si>
    <t>% of people above 15 who are working or are actively looking for work.</t>
  </si>
  <si>
    <t xml:space="preserve">Data from the Australian Bureau of Statistics. Accurate as of October 2025. </t>
  </si>
  <si>
    <t>Australian Bureau of Statistics did not have stats for Gold Coast and Newcastle. Gold Coast stats were taken from qld.gov.au. Newcastles stats were taken from the 2021 census</t>
  </si>
  <si>
    <t>Australian Bureau of Statistics did not have stats for Gold Coast and Newcastle. Gold Coast stats were taken from qld.gov.au. Newcastles stats were taken from the 2021 Census</t>
  </si>
  <si>
    <t>QS Top Universities</t>
  </si>
  <si>
    <t>% of the people over 15 who not working nor are actively looking for work</t>
  </si>
  <si>
    <t>LABOUR PRODUCTIVITY</t>
  </si>
  <si>
    <t>Output per hour worked</t>
  </si>
  <si>
    <t>SGS - Economics &amp; Planning</t>
  </si>
  <si>
    <t>Number of GP services per 100,000 residants by city</t>
  </si>
  <si>
    <t>SGS - Economics and Planning</t>
  </si>
  <si>
    <t>Average life expectancy by city</t>
  </si>
  <si>
    <t>HOMELESSNESS RATE</t>
  </si>
  <si>
    <t>State of a cities business environment and how it contributes to the success of start ups</t>
  </si>
  <si>
    <t>StartupBlink</t>
  </si>
  <si>
    <t>Australia is ranked 12th worldwide with Sydney ranking 31st amongst all cities</t>
  </si>
  <si>
    <t>% of the population with an Australian CERT III or higher</t>
  </si>
  <si>
    <t>Australian CERT III is equivilant to a trade school diploma or A-Levels</t>
  </si>
  <si>
    <t>LABOUR FORCE PARTICIPATION Z-SCORE</t>
  </si>
  <si>
    <t>LARGE COMPANIES Z-SCORE</t>
  </si>
  <si>
    <t>How strong is Labour Force Participation in relation to other cities?</t>
  </si>
  <si>
    <t>LABOUR PRODUCTIVITY Z-SCORE</t>
  </si>
  <si>
    <t>How productive is a cities labour force in relation to other cities?</t>
  </si>
  <si>
    <t>AIRPORT CONNECTIVITY Z-SCORE</t>
  </si>
  <si>
    <t>AIRPORT CONNECTIVITY</t>
  </si>
  <si>
    <t>CONVENTION CENTER Z-SCORE</t>
  </si>
  <si>
    <t>Number of large companies headquartered in a city in relation to other cities</t>
  </si>
  <si>
    <t>Capacity of the cities convention center in relation to others</t>
  </si>
  <si>
    <t>UNIVERSITY  PRESTIGE Z-SCORE</t>
  </si>
  <si>
    <t>EDUCATIONAL ATTAINMENT Z-SCORE</t>
  </si>
  <si>
    <t>BUSINESS ECOSYSTEM Z-SCORE</t>
  </si>
  <si>
    <t>Prestige of a cities univeristy compared to others</t>
  </si>
  <si>
    <t>How educated a workforce is in relation to others</t>
  </si>
  <si>
    <t>How strong a economy is at cultivating new businesses compared to other cities</t>
  </si>
  <si>
    <t>UNEMPLOYMENT RATE Z-SCORE</t>
  </si>
  <si>
    <t>HOMELESS RATE Z-SCORE</t>
  </si>
  <si>
    <t>How many homeless people there living in a city compared to other cities</t>
  </si>
  <si>
    <t>NIGHTLIFE Z-SCORE</t>
  </si>
  <si>
    <t>How a cities nightlife ranks compared to others</t>
  </si>
  <si>
    <t>SHOPPING Z-SCORE</t>
  </si>
  <si>
    <t>How a cities retail options compare to others</t>
  </si>
  <si>
    <t>RESTAURANTS Z-SCORE</t>
  </si>
  <si>
    <t>How a cities dining options compare to others</t>
  </si>
  <si>
    <t>CULTURE Z-SCORE</t>
  </si>
  <si>
    <t>GOOGLE TRENDS Z-SCORE</t>
  </si>
  <si>
    <t>How many cultural experiences a city others compared to others</t>
  </si>
  <si>
    <t>How popular a cities digital base is compared to others</t>
  </si>
  <si>
    <t>MUSEUMS Z-SCORE</t>
  </si>
  <si>
    <t>ATTRACTIONS Z-SCORE</t>
  </si>
  <si>
    <t>How a cities mueum options compare to others</t>
  </si>
  <si>
    <t>How the volume of a cities fun attractions compare to others</t>
  </si>
  <si>
    <t>SIGHTS &amp; LANDMARKS Z-SCORE</t>
  </si>
  <si>
    <t>NATURE &amp; PARKS Z-SCORE</t>
  </si>
  <si>
    <t>WALK SCORE Z-SCORE</t>
  </si>
  <si>
    <t>Walkability of a city compared to others</t>
  </si>
  <si>
    <t>BIKE SCORE Z-SCORE</t>
  </si>
  <si>
    <t>How bike friendly a city is compared to others</t>
  </si>
  <si>
    <t>AIR QUALITY Z-SCORE</t>
  </si>
  <si>
    <t>Cleanliness of a cities air compared to others</t>
  </si>
  <si>
    <t>HEAT STRESS Z-SCORE</t>
  </si>
  <si>
    <t>How extreme a cities weather is compared to others</t>
  </si>
  <si>
    <t>MEDIAN MONTHLY RENT Z-SCORE</t>
  </si>
  <si>
    <t>MEDIAN MONTHLY HOUSEHOLD INCOME Z-SCORE</t>
  </si>
  <si>
    <t>Cost of a cities housing market compared to others</t>
  </si>
  <si>
    <t>Strength of wages compared to other cities</t>
  </si>
  <si>
    <t>RENT TO INCOME RATIO Z-SCORE</t>
  </si>
  <si>
    <t>Affordability of a cities housing market in relation to its wages</t>
  </si>
  <si>
    <t>LIFE EXPECTANCY Z-SCORE</t>
  </si>
  <si>
    <t>How long residants of a city can expect to live compared to other cities</t>
  </si>
  <si>
    <t>GP's PER 100,000 RESIDENTS</t>
  </si>
  <si>
    <t>GP's PER 100,000 RESIDENTS Z-SCORE</t>
  </si>
  <si>
    <t>How accessible medical care is in a city compared to other cities</t>
  </si>
  <si>
    <t>LIVABILITY Z-SCORE</t>
  </si>
  <si>
    <t>Weight</t>
  </si>
  <si>
    <t>How a cities green spaces compare</t>
  </si>
  <si>
    <t>How a cities primary tourist attractions compare</t>
  </si>
  <si>
    <t>Walkability of a city</t>
  </si>
  <si>
    <t>How bike friendly a city is</t>
  </si>
  <si>
    <t>Cleanliness of a cities air</t>
  </si>
  <si>
    <t>How extreme a cities weather is</t>
  </si>
  <si>
    <t>Cost of a cities housing market</t>
  </si>
  <si>
    <t>Strength of a cities wages</t>
  </si>
  <si>
    <t xml:space="preserve">How long residants of a city can expect to live </t>
  </si>
  <si>
    <t>How accessible medical care is in a city</t>
  </si>
  <si>
    <t>Sydneys natural beauty makes it the clear winner</t>
  </si>
  <si>
    <t>Sydney's dispersed density urban planning model allows for more walkable neighbourhoods further from the CBD</t>
  </si>
  <si>
    <t>Canberra masterplanned development has allowed for it to be built with biking in mind</t>
  </si>
  <si>
    <t>Lower weighting due to the high heat being objectively good depending on your preference</t>
  </si>
  <si>
    <t>Low weighting due to life expectancy being very high across Australia</t>
  </si>
  <si>
    <t>Housing and afforability had the highest weighting due to it having the largest impact on citizens ability to live a functional daily exsistance. Canberra performed very well due to the high wages of its residents .</t>
  </si>
  <si>
    <t>LOVABILITY Z-SCORE</t>
  </si>
  <si>
    <t>How a cities nightlife ranks</t>
  </si>
  <si>
    <t xml:space="preserve">How many cultural experiences a city offers </t>
  </si>
  <si>
    <t>How popular a city is to netizens</t>
  </si>
  <si>
    <t>How a cities mueums compare</t>
  </si>
  <si>
    <t>How the volume of a cities fun attractions/activites compare</t>
  </si>
  <si>
    <t>Larger cities score higher on most metrics due to the sheer variety of entertainment options</t>
  </si>
  <si>
    <t xml:space="preserve">Variety of a cities retail options </t>
  </si>
  <si>
    <t>Melbourne confirms its top spot as Australia's food capital. Brisbane suprisingly scored higher than Sydney</t>
  </si>
  <si>
    <t>Sydney, being Australia's primary international city, attracts the majority of events and cultural experiences on offer</t>
  </si>
  <si>
    <t>Sydney is one of the worlds most popular tourist destination and the internet searches of people all over the world confirmed this</t>
  </si>
  <si>
    <t>Gold Coast is Australia's capital for tourism. Its high attractions score stems from the variety of water and theme parks on offer</t>
  </si>
  <si>
    <t>Melbourne and Sydney predictably finish with the highest scores. Being the 2 largest cities they are able to offer the widest variety of entertainment options.</t>
  </si>
  <si>
    <t>How strong is Labour Force Participation</t>
  </si>
  <si>
    <t>How productive is a cities labour force</t>
  </si>
  <si>
    <t>Number of large companies headquartered in a city</t>
  </si>
  <si>
    <t>Connectivity of the cities major airport in relation to other major airports</t>
  </si>
  <si>
    <t xml:space="preserve">Connectivity of the cities major airport </t>
  </si>
  <si>
    <t>Capacity of the cities convention center</t>
  </si>
  <si>
    <t>Prestige of a cities univeristy</t>
  </si>
  <si>
    <t>How educated a workforce is</t>
  </si>
  <si>
    <t>How strong a economy is at cultivating new businesses</t>
  </si>
  <si>
    <t>How robust a cities job market is</t>
  </si>
  <si>
    <t>How many homeless people there living in a city</t>
  </si>
  <si>
    <t>PROSPERITY Z-SCORE</t>
  </si>
  <si>
    <t>Gold Coast did not have a university ranked in the top 500 in the world. Due to its proximity to Brisbane, this does not hamper its residents from pursuing higher education. For the sake of keeping the study fair I gave it a ranking of 500 to allow for a metric to be calculated. This score may be a bit misleading</t>
  </si>
  <si>
    <t>Some cities have higher populations of retirees which can skew stats</t>
  </si>
  <si>
    <t>Great metric for determining the job opportunties available in a city</t>
  </si>
  <si>
    <t>A greater number of direct destinations indicates how important a city is to the worlds economy. Brisbane suprisingly ranked higher than Melbourne likely due to its strategic location</t>
  </si>
  <si>
    <t>A more prestigious university will offer more sought after and valuable qualifications. Strong scores in big cities</t>
  </si>
  <si>
    <t>A higher educated workforce often means more prosperity for a cities population. Lower weight indicates trend away from higher education and to the accumulation of skills</t>
  </si>
  <si>
    <t>A strong business ecosystem is likely to drive prosperity for all citizens</t>
  </si>
  <si>
    <t>Unemployment has become more significant due to recent issues with the job market</t>
  </si>
  <si>
    <t>Homelessness in Australia is reletively low in all cities. Perth noted for having an exceptionally high score</t>
  </si>
  <si>
    <t>Sydney, as expected, came out on top with Melbourne not far behind</t>
  </si>
  <si>
    <t>Melbourne scored very highly due to the wide variety of sights. Sydney has more famous sights so metric is slightly misleading. Lower weighting as some residants may be against the congestion that more tourists bring</t>
  </si>
  <si>
    <t>OVERALL CITY Z-SCORE</t>
  </si>
  <si>
    <t>WEIGHTED SCORES</t>
  </si>
  <si>
    <t>LIVABILITY ID</t>
  </si>
  <si>
    <t>MEL LIV</t>
  </si>
  <si>
    <t>SYD LIV</t>
  </si>
  <si>
    <t>BRI LIV</t>
  </si>
  <si>
    <t>PER LIV</t>
  </si>
  <si>
    <t>ADL LIV</t>
  </si>
  <si>
    <t>GLD LIV</t>
  </si>
  <si>
    <t>CAN LIV</t>
  </si>
  <si>
    <t>NEW LIV</t>
  </si>
  <si>
    <t>LOVABILITY ID</t>
  </si>
  <si>
    <t>MEL LOV</t>
  </si>
  <si>
    <t>SYD LOV</t>
  </si>
  <si>
    <t>BRI LOV</t>
  </si>
  <si>
    <t>PER LOV</t>
  </si>
  <si>
    <t>ADL LOV</t>
  </si>
  <si>
    <t>GLD LOV</t>
  </si>
  <si>
    <t>CAN LOV</t>
  </si>
  <si>
    <t>NEW LOV</t>
  </si>
  <si>
    <t>MEL PROS</t>
  </si>
  <si>
    <t>SYD PROS</t>
  </si>
  <si>
    <t>BRI PROS</t>
  </si>
  <si>
    <t>PER PROS</t>
  </si>
  <si>
    <t>ADL PROS</t>
  </si>
  <si>
    <t>GLD PROS</t>
  </si>
  <si>
    <t>CAN PROS</t>
  </si>
  <si>
    <t>NEW PROS</t>
  </si>
  <si>
    <t>PROSPERITY ID</t>
  </si>
  <si>
    <t>Z-SCORE ID</t>
  </si>
  <si>
    <t>MEL ZSC</t>
  </si>
  <si>
    <t>SYD ZSC</t>
  </si>
  <si>
    <t>BRI ZSC</t>
  </si>
  <si>
    <t>PER ZSC</t>
  </si>
  <si>
    <t>ADL ZSC</t>
  </si>
  <si>
    <t>GLD ZSC</t>
  </si>
  <si>
    <t>CAN ZSC</t>
  </si>
  <si>
    <t>NEW ZSC</t>
  </si>
  <si>
    <t>HOMELESSNESS RATE Z-SCORE</t>
  </si>
  <si>
    <t>UNIVERSITY  Z-SCORE</t>
  </si>
  <si>
    <t xml:space="preserve">     </t>
  </si>
  <si>
    <t>How robust a cities job market is compared to others</t>
  </si>
  <si>
    <t>Lower weighting due to health care being world class regardless of where you are in Australia. Accessibility is still important so that citizens do not have to wait for basic check ups or procedures. Adelaide is noted for having a particulally high score</t>
  </si>
  <si>
    <t>Newcastle, the least urban of all cities, suprisingly score lowest. Low weighting due to all Australian cities having relatively clean air</t>
  </si>
  <si>
    <t>Canberra performed unexpectedly well due to its high wages. Slightly misleading due to it being very government focused.  Gold Coast ranked lowest due to the unafforable nature of its housing market. Sydney would be ranked higher if rent prices were not so high</t>
  </si>
  <si>
    <t>How a cities primary tourist attractions compare to other cities.</t>
  </si>
  <si>
    <t>How a cities green spaces compare to other cities.</t>
  </si>
  <si>
    <t>Pedestrain friendlyness and walkability to nearby places scaled from 0 - 100.</t>
  </si>
  <si>
    <t>Bike lanes and road connectivity.</t>
  </si>
  <si>
    <t>CONVENTION CENTRE</t>
  </si>
  <si>
    <t>% of the population living in improvised dwellings or supported in accommodation for the homeless</t>
  </si>
  <si>
    <t>Low weight due to the irrelevance of this to the prosperity of a cities average citizen. May attract business tourists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</si>
</sst>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_-* #,##0_-;\-* #,##0_-;_-* &quot;-&quot;??_-;_-@_-"/>
    <numFmt numFmtId="165" formatCode="&quot;$&quot;#,##0.00"/>
  </numFmts>
  <fonts count="9" x14ac:knownFonts="1">
    <font>
      <sz val="11"/>
      <color theme="1"/>
      <name val="Aptos Narrow"/>
      <family val="2"/>
      <scheme val="minor"/>
    </font>
    <font>
      <sz val="11"/>
      <color theme="1"/>
      <name val="Aptos Narrow"/>
      <family val="2"/>
      <scheme val="minor"/>
    </font>
    <font>
      <sz val="14"/>
      <color theme="1"/>
      <name val="Aptos Narrow"/>
      <family val="2"/>
      <scheme val="minor"/>
    </font>
    <font>
      <sz val="8"/>
      <name val="Aptos Narrow"/>
      <family val="2"/>
      <scheme val="minor"/>
    </font>
    <font>
      <b/>
      <sz val="14"/>
      <color theme="0"/>
      <name val="Aptos Narrow"/>
      <family val="2"/>
      <scheme val="minor"/>
    </font>
    <font>
      <sz val="12"/>
      <color theme="1"/>
      <name val="Aptos Narrow"/>
      <family val="2"/>
      <scheme val="minor"/>
    </font>
    <font>
      <b/>
      <sz val="11"/>
      <color theme="1"/>
      <name val="Aptos Narrow"/>
      <family val="2"/>
      <scheme val="minor"/>
    </font>
    <font>
      <b/>
      <sz val="12"/>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indexed="64"/>
      </bottom>
      <diagonal/>
    </border>
    <border>
      <left style="thin">
        <color indexed="64"/>
      </left>
      <right/>
      <top style="thin">
        <color theme="4" tint="0.39997558519241921"/>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90">
    <xf numFmtId="0" fontId="0" fillId="0" borderId="0" xfId="0"/>
    <xf numFmtId="43" fontId="0" fillId="0" borderId="0" xfId="1" applyFont="1"/>
    <xf numFmtId="164" fontId="0" fillId="0" borderId="0" xfId="1" applyNumberFormat="1" applyFont="1"/>
    <xf numFmtId="0" fontId="2" fillId="0" borderId="2" xfId="0" applyFont="1" applyBorder="1"/>
    <xf numFmtId="0" fontId="2" fillId="0" borderId="3" xfId="0" applyFont="1" applyBorder="1"/>
    <xf numFmtId="164" fontId="2" fillId="0" borderId="4" xfId="1" applyNumberFormat="1" applyFont="1" applyBorder="1"/>
    <xf numFmtId="0" fontId="5" fillId="0" borderId="5" xfId="0" applyFont="1" applyBorder="1"/>
    <xf numFmtId="0" fontId="5" fillId="0" borderId="1" xfId="0" applyFont="1" applyBorder="1"/>
    <xf numFmtId="164" fontId="5" fillId="0" borderId="6" xfId="1" applyNumberFormat="1" applyFont="1" applyBorder="1"/>
    <xf numFmtId="0" fontId="5" fillId="0" borderId="7" xfId="0" applyFont="1" applyBorder="1"/>
    <xf numFmtId="0" fontId="5" fillId="0" borderId="8" xfId="0" applyFont="1" applyBorder="1"/>
    <xf numFmtId="164" fontId="5" fillId="0" borderId="9" xfId="1" applyNumberFormat="1" applyFont="1" applyBorder="1"/>
    <xf numFmtId="0" fontId="0" fillId="0" borderId="1" xfId="0" applyBorder="1"/>
    <xf numFmtId="1" fontId="0" fillId="0" borderId="0" xfId="0" applyNumberFormat="1"/>
    <xf numFmtId="1" fontId="0" fillId="0" borderId="0" xfId="0" applyNumberFormat="1" applyAlignment="1">
      <alignment wrapText="1"/>
    </xf>
    <xf numFmtId="0" fontId="0" fillId="0" borderId="0" xfId="0" applyAlignment="1">
      <alignment wrapText="1"/>
    </xf>
    <xf numFmtId="1" fontId="0" fillId="0" borderId="0" xfId="0" applyNumberFormat="1" applyAlignment="1">
      <alignment horizontal="center"/>
    </xf>
    <xf numFmtId="43" fontId="0" fillId="0" borderId="0" xfId="1" applyFont="1" applyAlignment="1">
      <alignment wrapText="1"/>
    </xf>
    <xf numFmtId="0" fontId="4" fillId="2" borderId="2" xfId="0" applyFont="1" applyFill="1" applyBorder="1"/>
    <xf numFmtId="0" fontId="4" fillId="2" borderId="3" xfId="0" applyFont="1" applyFill="1" applyBorder="1"/>
    <xf numFmtId="1" fontId="4" fillId="2" borderId="3" xfId="0" applyNumberFormat="1" applyFont="1" applyFill="1" applyBorder="1" applyAlignment="1">
      <alignment wrapText="1"/>
    </xf>
    <xf numFmtId="0" fontId="4" fillId="2" borderId="4" xfId="0" applyFont="1" applyFill="1" applyBorder="1"/>
    <xf numFmtId="0" fontId="5" fillId="3" borderId="5" xfId="0" applyFont="1" applyFill="1" applyBorder="1"/>
    <xf numFmtId="0" fontId="5" fillId="3" borderId="1" xfId="0" applyFont="1" applyFill="1" applyBorder="1"/>
    <xf numFmtId="1" fontId="5" fillId="3" borderId="1" xfId="0" applyNumberFormat="1" applyFont="1" applyFill="1" applyBorder="1"/>
    <xf numFmtId="2" fontId="0" fillId="0" borderId="1" xfId="0" applyNumberFormat="1" applyBorder="1"/>
    <xf numFmtId="165" fontId="0" fillId="0" borderId="1" xfId="2" applyNumberFormat="1" applyFont="1" applyBorder="1"/>
    <xf numFmtId="10" fontId="0" fillId="0" borderId="1" xfId="3" applyNumberFormat="1" applyFont="1" applyBorder="1"/>
    <xf numFmtId="1" fontId="5" fillId="0" borderId="1" xfId="0" applyNumberFormat="1" applyFont="1" applyBorder="1"/>
    <xf numFmtId="0" fontId="0" fillId="0" borderId="8" xfId="0" applyBorder="1"/>
    <xf numFmtId="2" fontId="0" fillId="0" borderId="8" xfId="0" applyNumberFormat="1" applyBorder="1"/>
    <xf numFmtId="43" fontId="4" fillId="2" borderId="3" xfId="1" applyFont="1" applyFill="1" applyBorder="1"/>
    <xf numFmtId="164" fontId="0" fillId="0" borderId="1" xfId="1" applyNumberFormat="1" applyFont="1" applyBorder="1"/>
    <xf numFmtId="164" fontId="0" fillId="0" borderId="8" xfId="1" applyNumberFormat="1" applyFont="1" applyBorder="1"/>
    <xf numFmtId="10" fontId="0" fillId="0" borderId="1" xfId="0" applyNumberFormat="1" applyBorder="1"/>
    <xf numFmtId="9" fontId="0" fillId="0" borderId="1" xfId="0" applyNumberFormat="1" applyBorder="1"/>
    <xf numFmtId="10" fontId="0" fillId="0" borderId="8" xfId="0" applyNumberFormat="1" applyBorder="1"/>
    <xf numFmtId="0" fontId="4" fillId="2" borderId="1" xfId="0" applyFont="1" applyFill="1" applyBorder="1"/>
    <xf numFmtId="0" fontId="4" fillId="2" borderId="1" xfId="0" applyFont="1" applyFill="1" applyBorder="1" applyAlignment="1">
      <alignment wrapText="1"/>
    </xf>
    <xf numFmtId="6" fontId="0" fillId="0" borderId="1" xfId="0" applyNumberFormat="1" applyBorder="1"/>
    <xf numFmtId="6" fontId="5" fillId="0" borderId="8" xfId="0" applyNumberFormat="1" applyFont="1" applyBorder="1"/>
    <xf numFmtId="6" fontId="0" fillId="0" borderId="8" xfId="0" applyNumberFormat="1" applyBorder="1"/>
    <xf numFmtId="2" fontId="0" fillId="0" borderId="1" xfId="1" applyNumberFormat="1" applyFont="1" applyBorder="1"/>
    <xf numFmtId="2" fontId="0" fillId="0" borderId="8" xfId="1" applyNumberFormat="1" applyFont="1" applyBorder="1"/>
    <xf numFmtId="2" fontId="0" fillId="0" borderId="6" xfId="0" applyNumberFormat="1" applyBorder="1"/>
    <xf numFmtId="2" fontId="0" fillId="0" borderId="9" xfId="0" applyNumberFormat="1" applyBorder="1"/>
    <xf numFmtId="2" fontId="5" fillId="3" borderId="1" xfId="0" applyNumberFormat="1" applyFont="1" applyFill="1" applyBorder="1"/>
    <xf numFmtId="2" fontId="5" fillId="0" borderId="1" xfId="0" applyNumberFormat="1" applyFont="1" applyBorder="1"/>
    <xf numFmtId="2" fontId="5" fillId="0" borderId="8" xfId="0" applyNumberFormat="1" applyFont="1" applyBorder="1"/>
    <xf numFmtId="2" fontId="0" fillId="0" borderId="1" xfId="2" applyNumberFormat="1" applyFont="1" applyBorder="1"/>
    <xf numFmtId="2" fontId="0" fillId="0" borderId="8" xfId="2" applyNumberFormat="1" applyFont="1" applyBorder="1"/>
    <xf numFmtId="2" fontId="0" fillId="0" borderId="1" xfId="3" applyNumberFormat="1" applyFont="1" applyBorder="1"/>
    <xf numFmtId="2" fontId="0" fillId="0" borderId="8" xfId="3" applyNumberFormat="1" applyFont="1" applyBorder="1"/>
    <xf numFmtId="1" fontId="4" fillId="2" borderId="1" xfId="0" applyNumberFormat="1" applyFont="1" applyFill="1" applyBorder="1"/>
    <xf numFmtId="2" fontId="0" fillId="3" borderId="1" xfId="0" applyNumberFormat="1" applyFill="1" applyBorder="1"/>
    <xf numFmtId="2" fontId="0" fillId="3" borderId="1" xfId="2" applyNumberFormat="1" applyFont="1" applyFill="1" applyBorder="1"/>
    <xf numFmtId="2" fontId="0" fillId="3" borderId="1" xfId="3" applyNumberFormat="1" applyFont="1" applyFill="1" applyBorder="1"/>
    <xf numFmtId="2" fontId="0" fillId="3" borderId="6" xfId="0" applyNumberFormat="1" applyFill="1" applyBorder="1"/>
    <xf numFmtId="1" fontId="4" fillId="2" borderId="1" xfId="0" applyNumberFormat="1" applyFont="1" applyFill="1" applyBorder="1" applyAlignment="1">
      <alignment wrapText="1"/>
    </xf>
    <xf numFmtId="9" fontId="0" fillId="0" borderId="0" xfId="0" applyNumberFormat="1"/>
    <xf numFmtId="9" fontId="4" fillId="2" borderId="1" xfId="0" applyNumberFormat="1" applyFont="1" applyFill="1" applyBorder="1"/>
    <xf numFmtId="2" fontId="6" fillId="3" borderId="1" xfId="0" applyNumberFormat="1" applyFont="1" applyFill="1" applyBorder="1"/>
    <xf numFmtId="2" fontId="7" fillId="3" borderId="1" xfId="0" applyNumberFormat="1" applyFont="1" applyFill="1" applyBorder="1"/>
    <xf numFmtId="2" fontId="6" fillId="0" borderId="1" xfId="0" applyNumberFormat="1" applyFont="1" applyBorder="1"/>
    <xf numFmtId="2" fontId="6" fillId="0" borderId="1" xfId="2" applyNumberFormat="1" applyFont="1" applyBorder="1"/>
    <xf numFmtId="2" fontId="6" fillId="3" borderId="1" xfId="2" applyNumberFormat="1" applyFont="1" applyFill="1" applyBorder="1"/>
    <xf numFmtId="2" fontId="6" fillId="3" borderId="1" xfId="3" applyNumberFormat="1" applyFont="1" applyFill="1" applyBorder="1"/>
    <xf numFmtId="0" fontId="4" fillId="2" borderId="3" xfId="0" applyFont="1" applyFill="1" applyBorder="1" applyAlignment="1">
      <alignment wrapText="1"/>
    </xf>
    <xf numFmtId="44" fontId="4" fillId="2" borderId="3" xfId="2" applyFont="1" applyFill="1" applyBorder="1" applyAlignment="1">
      <alignment wrapText="1"/>
    </xf>
    <xf numFmtId="0" fontId="4" fillId="2" borderId="4" xfId="0" applyFont="1" applyFill="1" applyBorder="1" applyAlignment="1">
      <alignment wrapText="1"/>
    </xf>
    <xf numFmtId="2" fontId="6" fillId="0" borderId="8" xfId="0" applyNumberFormat="1" applyFont="1" applyBorder="1"/>
    <xf numFmtId="2" fontId="0" fillId="3" borderId="9" xfId="0" applyNumberFormat="1" applyFill="1" applyBorder="1"/>
    <xf numFmtId="2" fontId="0" fillId="3" borderId="1" xfId="1" applyNumberFormat="1" applyFont="1" applyFill="1" applyBorder="1"/>
    <xf numFmtId="2" fontId="6" fillId="3" borderId="1" xfId="1" applyNumberFormat="1" applyFont="1" applyFill="1" applyBorder="1"/>
    <xf numFmtId="2" fontId="6" fillId="0" borderId="1" xfId="1" applyNumberFormat="1" applyFont="1" applyBorder="1"/>
    <xf numFmtId="6" fontId="5" fillId="0" borderId="1" xfId="0" applyNumberFormat="1" applyFont="1" applyBorder="1"/>
    <xf numFmtId="2" fontId="0" fillId="3" borderId="10" xfId="0" applyNumberFormat="1" applyFill="1" applyBorder="1"/>
    <xf numFmtId="2" fontId="0" fillId="3" borderId="11" xfId="0" applyNumberFormat="1" applyFill="1" applyBorder="1"/>
    <xf numFmtId="2" fontId="0" fillId="0" borderId="11" xfId="0" applyNumberFormat="1" applyBorder="1"/>
    <xf numFmtId="2" fontId="0" fillId="3" borderId="12" xfId="0" applyNumberFormat="1" applyFill="1" applyBorder="1"/>
    <xf numFmtId="2" fontId="0" fillId="0" borderId="12" xfId="0" applyNumberFormat="1" applyBorder="1"/>
    <xf numFmtId="9" fontId="0" fillId="0" borderId="0" xfId="3" applyFont="1"/>
    <xf numFmtId="2" fontId="0" fillId="0" borderId="13" xfId="0" applyNumberFormat="1" applyBorder="1"/>
    <xf numFmtId="2" fontId="0" fillId="3" borderId="13" xfId="0" applyNumberFormat="1" applyFill="1" applyBorder="1"/>
    <xf numFmtId="2" fontId="8" fillId="3" borderId="1" xfId="4" applyNumberFormat="1" applyFill="1" applyBorder="1"/>
    <xf numFmtId="1" fontId="0" fillId="3" borderId="1" xfId="0" applyNumberFormat="1" applyFill="1" applyBorder="1"/>
    <xf numFmtId="44" fontId="4" fillId="2" borderId="1" xfId="2" applyFont="1" applyFill="1" applyBorder="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center" wrapText="1"/>
    </xf>
  </cellXfs>
  <cellStyles count="5">
    <cellStyle name="Comma" xfId="1" builtinId="3"/>
    <cellStyle name="Currency" xfId="2" builtinId="4"/>
    <cellStyle name="Hyperlink" xfId="4" builtinId="8"/>
    <cellStyle name="Normal" xfId="0" builtinId="0"/>
    <cellStyle name="Percent" xfId="3" builtinId="5"/>
  </cellStyles>
  <dxfs count="27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numFmt numFmtId="2" formatCode="0.00"/>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4" formatCode="_-* #,##0_-;\-* #,##0_-;_-*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 #,##0_-;_-*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z val="12"/>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theme="4"/>
          <bgColor theme="4"/>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164" formatCode="_-* #,##0_-;\-* #,##0_-;_-* &quot;-&quot;??_-;_-@_-"/>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dxf>
    <dxf>
      <border>
        <bottom style="thin">
          <color indexed="64"/>
        </bottom>
      </border>
    </dxf>
    <dxf>
      <font>
        <strike val="0"/>
        <outline val="0"/>
        <shadow val="0"/>
        <u val="none"/>
        <vertAlign val="baseline"/>
        <sz val="14"/>
        <color theme="1"/>
        <name val="Aptos Narrow"/>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7B0A4E-1E1E-4CFA-8306-2B5B6BB377F0}" autoFormatId="16" applyNumberFormats="0" applyBorderFormats="0" applyFontFormats="0" applyPatternFormats="0" applyAlignmentFormats="0" applyWidthHeightFormats="0">
  <queryTableRefresh nextId="6" unboundColumnsLeft="1">
    <queryTableFields count="5">
      <queryTableField id="5" dataBound="0" tableColumnId="5"/>
      <queryTableField id="1" name="City" tableColumnId="1"/>
      <queryTableField id="3" dataBound="0" tableColumnId="3"/>
      <queryTableField id="4" dataBound="0" tableColumnId="4"/>
      <queryTableField id="2" name="2025 Pop.  ↓"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9686BC-648F-47B2-9276-65414691962E}" name="Cities_Table" displayName="Cities_Table" ref="A1:E9" tableType="queryTable" totalsRowShown="0" headerRowDxfId="276" dataDxfId="274" headerRowBorderDxfId="275" tableBorderDxfId="273" totalsRowBorderDxfId="272">
  <tableColumns count="5">
    <tableColumn id="5" xr3:uid="{E92BD3D0-A3F6-414C-9A2E-7D9CA04DE0E5}" uniqueName="5" name="CITY ID" queryTableFieldId="5" dataDxfId="271"/>
    <tableColumn id="1" xr3:uid="{A3F0FD23-3C6C-4E3E-A855-A6B2552D145E}" uniqueName="1" name="CITY NAME" queryTableFieldId="1" dataDxfId="270"/>
    <tableColumn id="3" xr3:uid="{E3505E77-725A-4ACF-B811-99C44AA92293}" uniqueName="3" name="STATE ID" queryTableFieldId="3" dataDxfId="269"/>
    <tableColumn id="4" xr3:uid="{E86E59FC-9F12-48B1-A041-F114E589DF74}" uniqueName="4" name="STATE NAME" queryTableFieldId="4" dataDxfId="268"/>
    <tableColumn id="2" xr3:uid="{61A82019-A531-4297-B4E0-F5D994789049}" uniqueName="2" name="METRO POPULATION  2025" queryTableFieldId="2" dataDxfId="267"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30BCB-464F-43A7-9E06-A6EE2B306288}" name="Livability_Table" displayName="Livability_Table" ref="A1:Z9" totalsRowShown="0" headerRowDxfId="266" headerRowBorderDxfId="265" tableBorderDxfId="264" totalsRowBorderDxfId="263">
  <tableColumns count="26">
    <tableColumn id="1" xr3:uid="{8EFC2876-CFF8-4B6C-A2F1-47E3487A2BEF}" name="CITY ID" dataDxfId="262"/>
    <tableColumn id="2" xr3:uid="{CDF16CD5-F8BF-46D2-990B-FF02615E37AC}" name="CITY NAME" dataDxfId="261"/>
    <tableColumn id="25" xr3:uid="{34260777-F422-46FA-98F5-3AED6235E8AB}" name="LIVABILITY ID" dataDxfId="260"/>
    <tableColumn id="3" xr3:uid="{3793DE76-D596-428E-AD56-B1FB019BB05E}" name="SIGHTS &amp; LANDMARKS" dataDxfId="259"/>
    <tableColumn id="12" xr3:uid="{7C486299-088C-45E0-BF9F-FE8EE926F486}" name="SIGHTS &amp; LANDMARKS Z-SCORE" dataDxfId="258">
      <calculatedColumnFormula>(Livability_Table[[#This Row],[SIGHTS &amp; LANDMARKS]] - AVERAGE(Livability_Table[SIGHTS &amp; LANDMARKS]))/_xlfn.STDEV.S(Livability_Table[SIGHTS &amp; LANDMARKS])</calculatedColumnFormula>
    </tableColumn>
    <tableColumn id="4" xr3:uid="{0CDF1B53-34D2-428D-A19F-5FEA33E467B9}" name="NATURE &amp; PARKS" dataDxfId="257"/>
    <tableColumn id="13" xr3:uid="{8F1D6F05-F0B4-42A6-ABF9-6A7D57226063}" name="NATURE &amp; PARKS Z-SCORE" dataDxfId="256">
      <calculatedColumnFormula>(Livability_Table[[#This Row],[NATURE &amp; PARKS]] - AVERAGE(Livability_Table[NATURE &amp; PARKS]))/_xlfn.STDEV.S(Livability_Table[NATURE &amp; PARKS])</calculatedColumnFormula>
    </tableColumn>
    <tableColumn id="5" xr3:uid="{AD9B1B22-A096-470C-9B54-C22E268F0B1A}" name="WALK SCORE" dataDxfId="255"/>
    <tableColumn id="16" xr3:uid="{4D36B41C-A2D2-40E6-BEF2-CA4E7041D23E}" name="WALK SCORE Z-SCORE" dataDxfId="254">
      <calculatedColumnFormula>(Livability_Table[[#This Row],[WALK SCORE]] - AVERAGE(Livability_Table[WALK SCORE]))/_xlfn.STDEV.S(Livability_Table[WALK SCORE])</calculatedColumnFormula>
    </tableColumn>
    <tableColumn id="6" xr3:uid="{3A95D307-F144-45A2-82A8-8193931FB5F4}" name="BIKE SCORE" dataDxfId="253"/>
    <tableColumn id="17" xr3:uid="{05BC116B-F241-40EF-BF94-F41A7E7F6B6E}" name="BIKE SCORE Z-SCORE" dataDxfId="252">
      <calculatedColumnFormula>(Livability_Table[[#This Row],[BIKE SCORE]] - AVERAGE(Livability_Table[BIKE SCORE]))/_xlfn.STDEV.S(Livability_Table[BIKE SCORE])</calculatedColumnFormula>
    </tableColumn>
    <tableColumn id="7" xr3:uid="{0C4C217A-44CD-4E55-A7DE-3925978194BA}" name="AIR QUALITY" dataDxfId="251"/>
    <tableColumn id="18" xr3:uid="{F1DAD42F-3473-4038-ABA5-A50EC00A57D9}" name="AIR QUALITY Z-SCORE" dataDxfId="250">
      <calculatedColumnFormula>-1 * ((Livability_Table[[#This Row],[AIR QUALITY]] - AVERAGE(Livability_Table[AIR QUALITY]))/_xlfn.STDEV.S(Livability_Table[AIR QUALITY]))</calculatedColumnFormula>
    </tableColumn>
    <tableColumn id="8" xr3:uid="{7AF321B9-23EA-4486-AF5E-C8BE4DD3EB6A}" name="HEAT STRESS DAYS" dataDxfId="249"/>
    <tableColumn id="19" xr3:uid="{C5C74C7A-BECC-4C83-9253-F7C02582B1AC}" name="HEAT STRESS Z-SCORE" dataDxfId="248">
      <calculatedColumnFormula xml:space="preserve"> -1 * (Livability_Table[[#This Row],[HEAT STRESS DAYS]] - AVERAGE(Livability_Table[HEAT STRESS DAYS]))/_xlfn.STDEV.S(Livability_Table[HEAT STRESS DAYS])</calculatedColumnFormula>
    </tableColumn>
    <tableColumn id="9" xr3:uid="{D397E728-4873-48DE-960E-EEABCEE976C8}" name="MEDIAN MONTHLY RENT" dataDxfId="247" dataCellStyle="Currency"/>
    <tableColumn id="20" xr3:uid="{81A142B1-BFED-4A8C-985B-6AB70E2D3A02}" name="MEDIAN MONTHLY RENT Z-SCORE" dataDxfId="246" dataCellStyle="Currency">
      <calculatedColumnFormula xml:space="preserve"> -1 * (Livability_Table[[#This Row],[MEDIAN MONTHLY RENT]] - AVERAGE(Livability_Table[MEDIAN MONTHLY RENT]))/_xlfn.STDEV.S(Livability_Table[MEDIAN MONTHLY RENT])</calculatedColumnFormula>
    </tableColumn>
    <tableColumn id="14" xr3:uid="{FA91D237-3F3F-47FE-AB4B-EAB6632689D9}" name="MEDIAN MONTLY HOUSEHOLD INCOME" dataDxfId="245" dataCellStyle="Currency"/>
    <tableColumn id="21" xr3:uid="{4CDBA257-D925-4079-B177-079E4C2E32BD}" name="MEDIAN MONTHLY HOUSEHOLD INCOME Z-SCORE" dataDxfId="244" dataCellStyle="Currency">
      <calculatedColumnFormula>(Livability_Table[[#This Row],[MEDIAN MONTLY HOUSEHOLD INCOME]] - AVERAGE(Livability_Table[MEDIAN MONTLY HOUSEHOLD INCOME]))/_xlfn.STDEV.S(Livability_Table[MEDIAN MONTLY HOUSEHOLD INCOME])</calculatedColumnFormula>
    </tableColumn>
    <tableColumn id="10" xr3:uid="{6E04B0EA-53B2-42A5-9702-329A695AC9CB}" name="RENT TO INCOME RATIO" dataDxfId="243" dataCellStyle="Percent">
      <calculatedColumnFormula>Livability_Table[[#This Row],[MEDIAN MONTHLY RENT]]/Livability_Table[[#This Row],[MEDIAN MONTLY HOUSEHOLD INCOME]]</calculatedColumnFormula>
    </tableColumn>
    <tableColumn id="22" xr3:uid="{E8EDD62A-1C44-401C-84D7-88EB2B1797D8}" name="RENT TO INCOME RATIO Z-SCORE" dataDxfId="242" dataCellStyle="Percent">
      <calculatedColumnFormula>-1 * (Livability_Table[[#This Row],[RENT TO INCOME RATIO]] - AVERAGE(Livability_Table[RENT TO INCOME RATIO]))/_xlfn.STDEV.S(Livability_Table[RENT TO INCOME RATIO])</calculatedColumnFormula>
    </tableColumn>
    <tableColumn id="11" xr3:uid="{29EE4A1D-4FE0-4B2D-9B0B-B4C6F7A61115}" name="LIFE EXPECTANCY" dataDxfId="241"/>
    <tableColumn id="23" xr3:uid="{380443E5-F479-4624-84D4-93C38FA7D763}" name="LIFE EXPECTANCY Z-SCORE" dataDxfId="240">
      <calculatedColumnFormula>(Livability_Table[[#This Row],[LIFE EXPECTANCY]] - AVERAGE(Livability_Table[LIFE EXPECTANCY]))/_xlfn.STDEV.S(Livability_Table[LIFE EXPECTANCY])</calculatedColumnFormula>
    </tableColumn>
    <tableColumn id="15" xr3:uid="{EBE71B1F-E808-42D9-8AB2-5088995EDDD1}" name="GP's PER 100,000 RESIDENTS" dataDxfId="239"/>
    <tableColumn id="26" xr3:uid="{03ACB1AA-8954-4C1C-921A-71613A349DD8}" name="GP's PER 100,000 RESIDENTS Z-SCORE" dataDxfId="238">
      <calculatedColumnFormula>(Livability_Table[[#This Row],[GP''s PER 100,000 RESIDENTS]] - AVERAGE(Livability_Table[GP''s PER 100,000 RESIDENTS]))/_xlfn.STDEV.S(Livability_Table[GP''s PER 100,000 RESIDENTS])</calculatedColumnFormula>
    </tableColumn>
    <tableColumn id="27" xr3:uid="{330141DA-9180-4788-8AFC-0A60C5E394FB}" name="LIVABILITY Z-SCORE" dataDxfId="237">
      <calculatedColumnFormula>VLOOKUP(Livability_Table[[#This Row],[CITY ID]], Livability_Z_Score_Table[#All], 14, 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2856FA-F631-4A5A-9A70-8735A6F2D444}" name="Lovability_Table" displayName="Lovability_Table" ref="A1:R9" totalsRowShown="0" headerRowDxfId="236" headerRowBorderDxfId="235" tableBorderDxfId="234" totalsRowBorderDxfId="233">
  <tableColumns count="18">
    <tableColumn id="1" xr3:uid="{3A3AEA22-0A01-4D4A-9977-A8C13F80DC7B}" name="CITY ID" dataDxfId="232"/>
    <tableColumn id="2" xr3:uid="{1C81E5D2-EB43-4193-8487-B21B0C238B70}" name="CITY NAME" dataDxfId="231"/>
    <tableColumn id="18" xr3:uid="{F4FFE1DC-07D1-444C-AB6B-0C711D6BCF35}" name="LOVABILITY ID" dataDxfId="230"/>
    <tableColumn id="3" xr3:uid="{0F4A3952-BB8B-4F9F-8713-BC95EFE5B98E}" name="NIGHTLIFE" dataDxfId="229"/>
    <tableColumn id="5" xr3:uid="{E57E1A4C-BC2E-4601-A339-F22CBD93394A}" name="NIGHTLIFE Z-SCORE" dataDxfId="228">
      <calculatedColumnFormula>(Lovability_Table[[#This Row],[NIGHTLIFE]] - AVERAGE(Lovability_Table[NIGHTLIFE]))/_xlfn.STDEV.S(Lovability_Table[NIGHTLIFE])</calculatedColumnFormula>
    </tableColumn>
    <tableColumn id="4" xr3:uid="{74B5F951-A04D-4E57-93F8-959682A903E6}" name="SHOPPING" dataDxfId="227"/>
    <tableColumn id="7" xr3:uid="{D2802DFD-7776-4762-AE2E-B437210C7636}" name="SHOPPING Z-SCORE" dataDxfId="226">
      <calculatedColumnFormula>(Lovability_Table[[#This Row],[SHOPPING]] - AVERAGE(Lovability_Table[SHOPPING]))/_xlfn.STDEV.S(Lovability_Table[SHOPPING])</calculatedColumnFormula>
    </tableColumn>
    <tableColumn id="6" xr3:uid="{780F6DC3-0482-4E06-A984-85BD26E592D7}" name="RESTAURANTS" dataDxfId="225" dataCellStyle="Comma"/>
    <tableColumn id="12" xr3:uid="{0F84F8C1-1601-48D4-9CEA-1126783EA417}" name="RESTAURANTS Z-SCORE" dataDxfId="224" dataCellStyle="Comma">
      <calculatedColumnFormula>(Lovability_Table[[#This Row],[RESTAURANTS]] - AVERAGE(Lovability_Table[RESTAURANTS]))/_xlfn.STDEV.S(Lovability_Table[RESTAURANTS])</calculatedColumnFormula>
    </tableColumn>
    <tableColumn id="11" xr3:uid="{09485C09-C2AC-4D02-A35D-2DDDE711163F}" name="CULTURE" dataDxfId="223" dataCellStyle="Comma"/>
    <tableColumn id="13" xr3:uid="{9C286F7E-2883-4824-8EA8-C39C733D7A35}" name="CULTURE Z-SCORE" dataDxfId="222" dataCellStyle="Comma">
      <calculatedColumnFormula>(Lovability_Table[[#This Row],[CULTURE]] - AVERAGE(Lovability_Table[CULTURE]))/_xlfn.STDEV.S(Lovability_Table[CULTURE])</calculatedColumnFormula>
    </tableColumn>
    <tableColumn id="8" xr3:uid="{0F5B6232-08C2-4DFE-BEFF-4F559F18DA66}" name="GOOGLE TRENDS" dataDxfId="221"/>
    <tableColumn id="14" xr3:uid="{974E6B6D-8363-4E0A-9D52-3114374EB05E}" name="GOOGLE TRENDS Z-SCORE" dataDxfId="220">
      <calculatedColumnFormula>(Lovability_Table[[#This Row],[GOOGLE TRENDS]] - AVERAGE(Lovability_Table[GOOGLE TRENDS]))/_xlfn.STDEV.S(Lovability_Table[GOOGLE TRENDS])</calculatedColumnFormula>
    </tableColumn>
    <tableColumn id="9" xr3:uid="{99AA3ED9-1C6C-4DDC-B45E-BF37E88753F4}" name="MUSEUMS" dataDxfId="219"/>
    <tableColumn id="15" xr3:uid="{E729E20D-3A27-4AA6-998B-AA01794EAC2D}" name="MUSEUMS Z-SCORE" dataDxfId="218">
      <calculatedColumnFormula>(Lovability_Table[[#This Row],[MUSEUMS]] - AVERAGE(Lovability_Table[MUSEUMS]))/_xlfn.STDEV.S(Lovability_Table[MUSEUMS])</calculatedColumnFormula>
    </tableColumn>
    <tableColumn id="10" xr3:uid="{89064680-ECD8-449C-BFCD-FD16BA3139B7}" name="ATTRACTIONS" dataDxfId="217"/>
    <tableColumn id="16" xr3:uid="{6FD3CC58-8321-4CD1-97AE-DFCBE190F4D1}" name="ATTRACTIONS Z-SCORE" dataDxfId="216">
      <calculatedColumnFormula>(Lovability_Table[[#This Row],[ATTRACTIONS]] - AVERAGE(Lovability_Table[ATTRACTIONS]))/_xlfn.STDEV.S(Lovability_Table[ATTRACTIONS])</calculatedColumnFormula>
    </tableColumn>
    <tableColumn id="17" xr3:uid="{4D2A73E3-D1E4-4D28-A47B-F0F667B64DC8}" name="LOVABILITY Z-SCORE" dataDxfId="215">
      <calculatedColumnFormula>VLOOKUP(Lovability_Table[[#This Row],[CITY ID]], Lovability_Z_Score_Table[#All], 10, 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DC2361-7C8D-4A7D-9CB1-6A929C599988}" name="Prosperity_Table" displayName="Prosperity_Table" ref="A1:X9" totalsRowShown="0" headerRowDxfId="214" headerRowBorderDxfId="213" tableBorderDxfId="212" totalsRowBorderDxfId="211">
  <tableColumns count="24">
    <tableColumn id="1" xr3:uid="{8D587406-C3A2-4FD4-BFF3-44C2769182C7}" name="CITY ID" dataDxfId="210"/>
    <tableColumn id="2" xr3:uid="{C270BA37-285D-4FA8-A3E2-83281D789924}" name="CITY NAME" dataDxfId="209"/>
    <tableColumn id="24" xr3:uid="{14A57658-0690-4B85-9825-442ADF3C2A9A}" name="PROSPERITY ID"/>
    <tableColumn id="3" xr3:uid="{44F64EE8-74C5-4257-BD94-0CDC3AFD5F92}" name="LABOUR FORCE PARTICIPATION" dataDxfId="208"/>
    <tableColumn id="9" xr3:uid="{991B8EE8-EB28-4490-8BB7-B6134E60C443}" name="LABOUR FORCE PARTICIPATION Z-SCORE" dataDxfId="207">
      <calculatedColumnFormula>(Prosperity_Table[[#This Row],[LABOUR FORCE PARTICIPATION]] - AVERAGE(Prosperity_Table[LABOUR FORCE PARTICIPATION]))/_xlfn.STDEV.S(Prosperity_Table[LABOUR FORCE PARTICIPATION])</calculatedColumnFormula>
    </tableColumn>
    <tableColumn id="13" xr3:uid="{8C2C557E-A70A-47C9-BE7F-EA12053A7F76}" name="LABOUR PRODUCTIVITY" dataDxfId="206"/>
    <tableColumn id="15" xr3:uid="{72EC9191-B304-49AE-BAFC-6CF36BC112F3}" name="LABOUR PRODUCTIVITY Z-SCORE" dataDxfId="205">
      <calculatedColumnFormula>(Prosperity_Table[[#This Row],[LABOUR PRODUCTIVITY]]-AVERAGE(Prosperity_Table[LABOUR PRODUCTIVITY]))/_xlfn.STDEV.S(Prosperity_Table[LABOUR PRODUCTIVITY])</calculatedColumnFormula>
    </tableColumn>
    <tableColumn id="4" xr3:uid="{BB95A3E2-60AA-446A-9493-7C40D4166D51}" name="LARGE COMPANIES" dataDxfId="204"/>
    <tableColumn id="14" xr3:uid="{17E0415C-D350-48C2-B811-5DF2120F9A32}" name="LARGE COMPANIES Z-SCORE" dataDxfId="203">
      <calculatedColumnFormula>(Prosperity_Table[[#This Row],[LARGE COMPANIES]] - AVERAGE(Prosperity_Table[LARGE COMPANIES]))/_xlfn.STDEV.S(Prosperity_Table[LARGE COMPANIES])</calculatedColumnFormula>
    </tableColumn>
    <tableColumn id="5" xr3:uid="{B2DAD64E-40B6-4819-A113-FBD13852D3E3}" name="AIRPORT CONNECTIVITY" dataDxfId="202"/>
    <tableColumn id="16" xr3:uid="{E0F35311-AC61-471D-9069-C4B5A1080152}" name="AIRPORT CONNECTIVITY Z-SCORE" dataDxfId="201">
      <calculatedColumnFormula>(Prosperity_Table[[#This Row],[AIRPORT CONNECTIVITY]] - AVERAGE(Prosperity_Table[AIRPORT CONNECTIVITY]))/_xlfn.STDEV.S(Prosperity_Table[AIRPORT CONNECTIVITY])</calculatedColumnFormula>
    </tableColumn>
    <tableColumn id="6" xr3:uid="{E1261FF4-AEC4-4C8A-AA22-4A543B7F4CCB}" name="CONVENTION CENTRE" dataDxfId="200" dataCellStyle="Comma"/>
    <tableColumn id="17" xr3:uid="{90428B60-F54D-400D-A6C1-3768180B0664}" name="CONVENTION CENTER Z-SCORE" dataDxfId="199" dataCellStyle="Comma">
      <calculatedColumnFormula>(Prosperity_Table[[#This Row],[CONVENTION CENTRE]] - AVERAGE(Prosperity_Table[CONVENTION CENTRE]))/_xlfn.STDEV.S(Prosperity_Table[CONVENTION CENTRE])</calculatedColumnFormula>
    </tableColumn>
    <tableColumn id="7" xr3:uid="{472BF372-55FC-449D-8BC7-9CF33385D4E8}" name="UNIVERSITY" dataDxfId="198"/>
    <tableColumn id="18" xr3:uid="{D78757C2-D88B-4554-91EF-EC135971D376}" name="UNIVERSITY  Z-SCORE" dataDxfId="197">
      <calculatedColumnFormula>-1 * (Prosperity_Table[[#This Row],[UNIVERSITY]] - AVERAGE(Prosperity_Table[UNIVERSITY])) / _xlfn.STDEV.S(Prosperity_Table[UNIVERSITY])</calculatedColumnFormula>
    </tableColumn>
    <tableColumn id="8" xr3:uid="{70B5CBE4-4568-4C01-AA27-670F064CC3B2}" name="EDUCATIONAL ATTAINMENT" dataDxfId="196"/>
    <tableColumn id="19" xr3:uid="{3FFEA982-BA3B-481A-A1F7-7E846269152E}" name="EDUCATIONAL ATTAINMENT Z-SCORE" dataDxfId="195">
      <calculatedColumnFormula>(Prosperity_Table[[#This Row],[EDUCATIONAL ATTAINMENT]] - AVERAGE(Prosperity_Table[EDUCATIONAL ATTAINMENT]))/_xlfn.STDEV.S(Prosperity_Table[EDUCATIONAL ATTAINMENT])</calculatedColumnFormula>
    </tableColumn>
    <tableColumn id="10" xr3:uid="{7F354944-5A7F-4221-905D-1EEAEB458FC4}" name="BUSINESS ECOSYSTEM" dataDxfId="194"/>
    <tableColumn id="20" xr3:uid="{612151FB-EDFD-48E8-A3A2-D2DD0FD3B090}" name="BUSINESS ECOSYSTEM Z-SCORE" dataDxfId="193">
      <calculatedColumnFormula>(Prosperity_Table[[#This Row],[BUSINESS ECOSYSTEM]] - AVERAGE(Prosperity_Table[BUSINESS ECOSYSTEM]))/_xlfn.STDEV.S(Prosperity_Table[BUSINESS ECOSYSTEM])</calculatedColumnFormula>
    </tableColumn>
    <tableColumn id="11" xr3:uid="{FFC57324-44C4-4A85-A90D-ED5A2928E4D2}" name="UNEMPLOYMENT RATE" dataDxfId="192"/>
    <tableColumn id="21" xr3:uid="{934EFCB4-CD27-4660-A1F9-6C45FBBFEE76}" name="UNEMPLOYMENT RATE Z-SCORE" dataDxfId="191">
      <calculatedColumnFormula xml:space="preserve"> -1 * (Prosperity_Table[[#This Row],[UNEMPLOYMENT RATE]] - AVERAGE(Prosperity_Table[UNEMPLOYMENT RATE]))/_xlfn.STDEV.S(Prosperity_Table[UNEMPLOYMENT RATE])</calculatedColumnFormula>
    </tableColumn>
    <tableColumn id="12" xr3:uid="{ED034312-6A74-4CBA-9D85-065BDAC4E039}" name="HOMELESSNESS RATE" dataDxfId="190"/>
    <tableColumn id="22" xr3:uid="{B311744D-3820-4FFD-8BFA-C38446D1CA90}" name="HOMELESSNESS RATE Z-SCORE" dataDxfId="189">
      <calculatedColumnFormula xml:space="preserve"> -1 * (Prosperity_Table[[#This Row],[HOMELESSNESS RATE]] - AVERAGE(Prosperity_Table[HOMELESSNESS RATE]))/_xlfn.STDEV.S(Prosperity_Table[HOMELESSNESS RATE])</calculatedColumnFormula>
    </tableColumn>
    <tableColumn id="23" xr3:uid="{22D0E762-7E87-4714-918A-05B18573C21D}" name="PROSPERITY Z-SCORE" dataDxfId="188">
      <calculatedColumnFormula>VLOOKUP(Prosperity_Table[[#This Row],[CITY ID]], Prosperity_Z_Score_Table[#All], 13, 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777FE0-E70A-4271-AF70-F69F99AFC3D7}" name="Overall_Z_Score_Table" displayName="Overall_Z_Score_Table" ref="A1:H9" totalsRowShown="0" headerRowDxfId="187" headerRowBorderDxfId="186" tableBorderDxfId="185">
  <tableColumns count="8">
    <tableColumn id="1" xr3:uid="{28D742A1-45EA-423A-B902-862FE2A26FB0}" name="CITY ID" dataDxfId="184"/>
    <tableColumn id="2" xr3:uid="{42CD8DAE-F9A1-4F6E-A212-85542D55B2CA}" name="CITY NAME" dataDxfId="183"/>
    <tableColumn id="8" xr3:uid="{2C148FF1-72DC-422C-ADD4-81DC18EF7C9B}" name="Z-SCORE ID"/>
    <tableColumn id="3" xr3:uid="{6489E77E-EB97-4349-91E9-71CDCD0F6C9F}" name="LIVABILITY Z-SCORE" dataDxfId="182" dataCellStyle="Hyperlink">
      <calculatedColumnFormula>VLOOKUP(Livability_Z_Score_Table[[#This Row],[CITY ID]], Livability_Z_Score_Table[#All], 14, FALSE)</calculatedColumnFormula>
    </tableColumn>
    <tableColumn id="4" xr3:uid="{B5FC5738-1054-4C4A-8401-9CDB992D3FA3}" name="LOVABILITY Z-SCORE" dataDxfId="181">
      <calculatedColumnFormula>VLOOKUP(Lovability_Z_Score_Table[[#This Row],[CITY ID]], Lovability_Z_Score_Table[#All], 10, FALSE)</calculatedColumnFormula>
    </tableColumn>
    <tableColumn id="5" xr3:uid="{B0750924-389E-4CA5-BCA3-6583995E58BC}" name="PROSPERITY Z-SCORE" dataDxfId="180">
      <calculatedColumnFormula>VLOOKUP(Prosperity_Z_Score_Table[[#This Row],[CITY ID]], Prosperity_Z_Score_Table[#All], 13, FALSE)</calculatedColumnFormula>
    </tableColumn>
    <tableColumn id="6" xr3:uid="{69DF6353-A707-468B-93D9-FE00F1342948}" name="OVERALL CITY Z-SCORE" dataDxfId="179">
      <calculatedColumnFormula>(Overall_Z_Score_Table[[#This Row],[LIVABILITY Z-SCORE]] + Overall_Z_Score_Table[[#This Row],[LOVABILITY Z-SCORE]] + Overall_Z_Score_Table[[#This Row],[PROSPERITY Z-SCORE]])/3</calculatedColumnFormula>
    </tableColumn>
    <tableColumn id="7" xr3:uid="{C2D6D4DE-80E7-4C60-B801-724D3200F1CA}" name="WEIGHTED SCORES" dataDxfId="178">
      <calculatedColumnFormula>100 * (Overall_Z_Score_Table[[#This Row],[OVERALL CITY Z-SCORE]] - MIN(Overall_Z_Score_Table[OVERALL CITY Z-SCORE]))/(MAX(Overall_Z_Score_Table[OVERALL CITY Z-SCORE]) - MIN(Overall_Z_Score_Table[OVERALL CITY Z-SCORE]))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D1A4A8-97B4-4595-889F-1502F48EFDFF}" name="Livability_Z_Score_Table" displayName="Livability_Z_Score_Table" ref="A1:N9" totalsRowShown="0" headerRowDxfId="177" headerRowBorderDxfId="176" tableBorderDxfId="175" totalsRowBorderDxfId="174">
  <tableColumns count="14">
    <tableColumn id="1" xr3:uid="{7C482B87-516A-4324-8D18-C6AE77CF70D7}" name="CITY ID" dataDxfId="173"/>
    <tableColumn id="2" xr3:uid="{D3EFF5CA-DB73-4166-BB8F-61E417739B5F}" name="CITY NAME" dataDxfId="172"/>
    <tableColumn id="3" xr3:uid="{F02BA281-C90D-41B9-B36D-5B176E34C5A3}" name="SIGHTS &amp; LANDMARKS Z-SCORE" dataDxfId="171">
      <calculatedColumnFormula>(Livability_Table[[#This Row],[SIGHTS &amp; LANDMARKS]] - AVERAGE(Livability_Table[SIGHTS &amp; LANDMARKS]))/_xlfn.STDEV.S(Livability_Table[SIGHTS &amp; LANDMARKS])</calculatedColumnFormula>
    </tableColumn>
    <tableColumn id="4" xr3:uid="{FCCBC225-4CF8-4694-8676-7EF339F52FD5}" name="NATURE &amp; PARKS Z-SCORE" dataDxfId="170">
      <calculatedColumnFormula>(Livability_Table[[#This Row],[NATURE &amp; PARKS]] - AVERAGE(Livability_Table[NATURE &amp; PARKS]))/_xlfn.STDEV.S(Livability_Table[NATURE &amp; PARKS])</calculatedColumnFormula>
    </tableColumn>
    <tableColumn id="5" xr3:uid="{D9A164A9-0F3C-491A-B300-E6E1CC9AF4A3}" name="WALK SCORE Z-SCORE" dataDxfId="169">
      <calculatedColumnFormula>(Livability_Table[[#This Row],[WALK SCORE]] - AVERAGE(Livability_Table[WALK SCORE]))/_xlfn.STDEV.S(Livability_Table[WALK SCORE])</calculatedColumnFormula>
    </tableColumn>
    <tableColumn id="6" xr3:uid="{8EA0F536-A683-4B78-A695-2E200C8FDE9F}" name="BIKE SCORE Z-SCORE" dataDxfId="168">
      <calculatedColumnFormula>(Livability_Table[[#This Row],[BIKE SCORE]] - AVERAGE(Livability_Table[BIKE SCORE]))/_xlfn.STDEV.S(Livability_Table[BIKE SCORE])</calculatedColumnFormula>
    </tableColumn>
    <tableColumn id="7" xr3:uid="{84E9A939-038D-4B24-A769-D55CC36F23FD}" name="AIR QUALITY Z-SCORE" dataDxfId="167">
      <calculatedColumnFormula xml:space="preserve"> -1 * (Livability_Table[[#This Row],[AIR QUALITY]] - AVERAGE(Livability_Table[AIR QUALITY]))/_xlfn.STDEV.S(Livability_Table[AIR QUALITY])</calculatedColumnFormula>
    </tableColumn>
    <tableColumn id="8" xr3:uid="{B810FEE8-DC23-4B13-B611-00E37F706B80}" name="HEAT STRESS Z-SCORE" dataDxfId="166">
      <calculatedColumnFormula xml:space="preserve"> -1 * (Livability_Table[[#This Row],[HEAT STRESS DAYS]] - AVERAGE(Livability_Table[HEAT STRESS DAYS]))/_xlfn.STDEV.S(Livability_Table[HEAT STRESS DAYS])</calculatedColumnFormula>
    </tableColumn>
    <tableColumn id="9" xr3:uid="{564F4EF0-698F-41FD-9D49-FFE128AC50D6}" name="MEDIAN MONTHLY RENT Z-SCORE" dataDxfId="165" dataCellStyle="Currency">
      <calculatedColumnFormula xml:space="preserve"> -1 * (Livability_Table[[#This Row],[MEDIAN MONTHLY RENT]] - AVERAGE(Livability_Table[MEDIAN MONTHLY RENT]))/_xlfn.STDEV.S(Livability_Table[MEDIAN MONTHLY RENT])</calculatedColumnFormula>
    </tableColumn>
    <tableColumn id="10" xr3:uid="{2845AEC1-96BB-48C7-A891-8DBBBF5F475C}" name="MEDIAN MONTHLY HOUSEHOLD INCOME Z-SCORE" dataDxfId="164" dataCellStyle="Currency">
      <calculatedColumnFormula>(Livability_Table[[#This Row],[MEDIAN MONTLY HOUSEHOLD INCOME]] - AVERAGE(Livability_Table[MEDIAN MONTLY HOUSEHOLD INCOME]))/_xlfn.STDEV.S(Livability_Table[MEDIAN MONTLY HOUSEHOLD INCOME])</calculatedColumnFormula>
    </tableColumn>
    <tableColumn id="11" xr3:uid="{C1398143-0D65-40FF-B140-5C2F68B646DA}" name="RENT TO INCOME RATIO Z-SCORE" dataDxfId="163" dataCellStyle="Percent">
      <calculatedColumnFormula>-1 * (Livability_Table[[#This Row],[RENT TO INCOME RATIO]] - AVERAGE(Livability_Table[RENT TO INCOME RATIO]))/_xlfn.STDEV.S(Livability_Table[RENT TO INCOME RATIO])</calculatedColumnFormula>
    </tableColumn>
    <tableColumn id="12" xr3:uid="{D276D30C-4AA2-47CA-9F52-C0678A4884A7}" name="LIFE EXPECTANCY Z-SCORE" dataDxfId="162">
      <calculatedColumnFormula>(Livability_Table[[#This Row],[LIFE EXPECTANCY]] - AVERAGE(Livability_Table[LIFE EXPECTANCY]))/_xlfn.STDEV.S(Livability_Table[LIFE EXPECTANCY])</calculatedColumnFormula>
    </tableColumn>
    <tableColumn id="13" xr3:uid="{70FDDED2-75B6-45A6-A5C1-52218021CF87}" name="GP's PER 100,000 RESIDENTS Z-SCORE" dataDxfId="161">
      <calculatedColumnFormula>(Livability_Table[[#This Row],[GP''s PER 100,000 RESIDENTS]] - AVERAGE(Livability_Table[GP''s PER 100,000 RESIDENTS]))/_xlfn.STDEV.S(Livability_Table[GP''s PER 100,000 RESIDENTS])</calculatedColumnFormula>
    </tableColumn>
    <tableColumn id="14" xr3:uid="{2B151856-A810-4B38-ABCE-DD774A2A96BA}" name="LIVABILITY Z-SCORE" dataDxfId="160">
      <calculatedColumnFormula>(0.08 * C2) + (0.1 * D2) + (0.12 * E2) + (0.1 * F2) + (0.05 * G2) + (0.06 * H2) + (0.12 * I2) + (0.12 * J2) + (0.12 * K2) + (0.05 *L2) + (0.08 * M2)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29F847-EAAA-4A99-861E-D84CC6D40781}" name="Lovability_Z_Score_Table" displayName="Lovability_Z_Score_Table" ref="A1:J9" totalsRowShown="0" headerRowDxfId="159" headerRowBorderDxfId="158" tableBorderDxfId="157" totalsRowBorderDxfId="156">
  <tableColumns count="10">
    <tableColumn id="1" xr3:uid="{2D34A7E6-1E81-4100-A3E6-ECA7EE19B65B}" name="CITY ID" dataDxfId="155"/>
    <tableColumn id="2" xr3:uid="{E270189E-D6C1-405A-8FED-23FC4E42B939}" name="CITY NAME" dataDxfId="154"/>
    <tableColumn id="3" xr3:uid="{5EA4923E-7E83-4FBF-BBAA-FB9E97A4A5BE}" name="NIGHTLIFE Z-SCORE" dataDxfId="153">
      <calculatedColumnFormula>(Lovability_Table[[#This Row],[NIGHTLIFE]] - AVERAGE(Lovability_Table[NIGHTLIFE]))/_xlfn.STDEV.S(Lovability_Table[NIGHTLIFE])</calculatedColumnFormula>
    </tableColumn>
    <tableColumn id="4" xr3:uid="{48E65D8E-02E9-4424-9D0B-2A681253E1AC}" name="SHOPPING Z-SCORE" dataDxfId="152">
      <calculatedColumnFormula>(Lovability_Table[[#This Row],[SHOPPING]] - AVERAGE(Lovability_Table[SHOPPING]))/_xlfn.STDEV.S(Lovability_Table[SHOPPING])</calculatedColumnFormula>
    </tableColumn>
    <tableColumn id="5" xr3:uid="{54FAB369-7754-415E-97DD-918E90B0FD54}" name="RESTAURANTS Z-SCORE" dataDxfId="151" dataCellStyle="Comma">
      <calculatedColumnFormula>(Lovability_Table[[#This Row],[RESTAURANTS]] - AVERAGE(Lovability_Table[RESTAURANTS]))/_xlfn.STDEV.S(Lovability_Table[RESTAURANTS])</calculatedColumnFormula>
    </tableColumn>
    <tableColumn id="6" xr3:uid="{9E159D37-FCB0-492A-BE86-B48E33602C83}" name="CULTURE Z-SCORE" dataDxfId="150" dataCellStyle="Comma">
      <calculatedColumnFormula>(Lovability_Table[[#This Row],[CULTURE]] - AVERAGE(Lovability_Table[CULTURE]))/_xlfn.STDEV.S(Lovability_Table[CULTURE])</calculatedColumnFormula>
    </tableColumn>
    <tableColumn id="7" xr3:uid="{45AEC408-DAAB-4CF4-A02F-C98F405DBC4D}" name="GOOGLE TRENDS Z-SCORE" dataDxfId="149">
      <calculatedColumnFormula>(Lovability_Table[[#This Row],[GOOGLE TRENDS]] - AVERAGE(Lovability_Table[GOOGLE TRENDS]))/_xlfn.STDEV.S(Lovability_Table[GOOGLE TRENDS])</calculatedColumnFormula>
    </tableColumn>
    <tableColumn id="8" xr3:uid="{FC7E6E7F-4FE8-4BD3-884C-8EA4CB24BAB5}" name="MUSEUMS Z-SCORE" dataDxfId="148">
      <calculatedColumnFormula>(Lovability_Table[[#This Row],[MUSEUMS]] - AVERAGE(Lovability_Table[MUSEUMS]))/_xlfn.STDEV.S(Lovability_Table[MUSEUMS])</calculatedColumnFormula>
    </tableColumn>
    <tableColumn id="9" xr3:uid="{D32282A2-A793-4C2D-A8BE-0E7EC5B53048}" name="ATTRACTIONS Z-SCORE" dataDxfId="147">
      <calculatedColumnFormula>(Lovability_Table[[#This Row],[ATTRACTIONS]] - AVERAGE(Lovability_Table[ATTRACTIONS]))/_xlfn.STDEV.S(Lovability_Table[ATTRACTIONS])</calculatedColumnFormula>
    </tableColumn>
    <tableColumn id="10" xr3:uid="{CBA1C4B9-100C-463B-B8BD-B47F2B2651A7}" name="LOVABILITY Z-SCORE" dataDxfId="146">
      <calculatedColumnFormula>(0.16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4FA15A-311A-47BD-A12A-3F5A4AF3D48A}" name="Prosperity_Z_Score_Table" displayName="Prosperity_Z_Score_Table" ref="A1:M9" totalsRowShown="0" headerRowDxfId="145" dataDxfId="143" headerRowBorderDxfId="144" tableBorderDxfId="142">
  <tableColumns count="13">
    <tableColumn id="1" xr3:uid="{577DF0AB-996C-4854-BBF8-6EAB4353FCB7}" name="CITY ID" dataDxfId="141"/>
    <tableColumn id="2" xr3:uid="{545EA752-6CAE-41CB-8AB5-6C99785C1123}" name="CITY NAME"/>
    <tableColumn id="3" xr3:uid="{B457D75E-AF1B-4A96-AE3F-49424D36272C}" name="LABOUR FORCE PARTICIPATION Z-SCORE" dataDxfId="140">
      <calculatedColumnFormula>(Prosperity_Table[[#This Row],[LABOUR FORCE PARTICIPATION]] - AVERAGE(Prosperity_Table[LABOUR FORCE PARTICIPATION]))/_xlfn.STDEV.S(Prosperity_Table[LABOUR FORCE PARTICIPATION])</calculatedColumnFormula>
    </tableColumn>
    <tableColumn id="4" xr3:uid="{C9869801-606E-4CD8-9C52-CFCDA571E657}" name="LABOUR PRODUCTIVITY Z-SCORE" dataDxfId="139">
      <calculatedColumnFormula>(Prosperity_Table[[#This Row],[LABOUR PRODUCTIVITY]]-AVERAGE(Prosperity_Table[LABOUR PRODUCTIVITY]))/_xlfn.STDEV.S(Prosperity_Table[LABOUR PRODUCTIVITY])</calculatedColumnFormula>
    </tableColumn>
    <tableColumn id="5" xr3:uid="{7B3982E6-0B37-44EB-B10E-AAC9AE66A198}" name="LARGE COMPANIES Z-SCORE" dataDxfId="138">
      <calculatedColumnFormula>(Prosperity_Table[[#This Row],[LARGE COMPANIES]] - AVERAGE(Prosperity_Table[LARGE COMPANIES]))/_xlfn.STDEV.S(Prosperity_Table[LARGE COMPANIES])</calculatedColumnFormula>
    </tableColumn>
    <tableColumn id="6" xr3:uid="{23B29530-39F2-4B61-B2DB-54D234088160}" name="AIRPORT CONNECTIVITY Z-SCORE" dataDxfId="137">
      <calculatedColumnFormula>(Prosperity_Table[[#This Row],[AIRPORT CONNECTIVITY]] - AVERAGE(Prosperity_Table[AIRPORT CONNECTIVITY]))/_xlfn.STDEV.S(Prosperity_Table[AIRPORT CONNECTIVITY])</calculatedColumnFormula>
    </tableColumn>
    <tableColumn id="7" xr3:uid="{FD644F65-816D-4544-8CA8-B53FF79D891E}" name="CONVENTION CENTER Z-SCORE" dataDxfId="136" dataCellStyle="Comma">
      <calculatedColumnFormula>(Prosperity_Table[[#This Row],[CONVENTION CENTRE]] - AVERAGE(Prosperity_Table[CONVENTION CENTRE]))/_xlfn.STDEV.S(Prosperity_Table[CONVENTION CENTRE])</calculatedColumnFormula>
    </tableColumn>
    <tableColumn id="8" xr3:uid="{B91BC8B7-735D-4756-991C-0C0540EFBA46}" name="UNIVERSITY  PRESTIGE Z-SCORE" dataDxfId="135">
      <calculatedColumnFormula>-1 * (Prosperity_Table[[#This Row],[UNIVERSITY]] - AVERAGE(Prosperity_Table[UNIVERSITY])) / _xlfn.STDEV.S(Prosperity_Table[UNIVERSITY])</calculatedColumnFormula>
    </tableColumn>
    <tableColumn id="9" xr3:uid="{CF007020-EDC7-4FE1-A45A-24D198BF8464}" name="EDUCATIONAL ATTAINMENT Z-SCORE" dataDxfId="134">
      <calculatedColumnFormula>(Prosperity_Table[[#This Row],[EDUCATIONAL ATTAINMENT]] - AVERAGE(Prosperity_Table[EDUCATIONAL ATTAINMENT]))/_xlfn.STDEV.S(Prosperity_Table[EDUCATIONAL ATTAINMENT])</calculatedColumnFormula>
    </tableColumn>
    <tableColumn id="10" xr3:uid="{8071CD3E-C87F-4891-A50F-839F279BC543}" name="BUSINESS ECOSYSTEM Z-SCORE" dataDxfId="133">
      <calculatedColumnFormula>(Prosperity_Table[[#This Row],[BUSINESS ECOSYSTEM]] - AVERAGE(Prosperity_Table[BUSINESS ECOSYSTEM]))/_xlfn.STDEV.S(Prosperity_Table[BUSINESS ECOSYSTEM])</calculatedColumnFormula>
    </tableColumn>
    <tableColumn id="11" xr3:uid="{2F7B5E31-F97B-45B9-846D-3803D89CE13A}" name="UNEMPLOYMENT RATE Z-SCORE" dataDxfId="132">
      <calculatedColumnFormula xml:space="preserve"> -1 * (Prosperity_Table[[#This Row],[UNEMPLOYMENT RATE]] - AVERAGE(Prosperity_Table[UNEMPLOYMENT RATE]))/_xlfn.STDEV.S(Prosperity_Table[UNEMPLOYMENT RATE])</calculatedColumnFormula>
    </tableColumn>
    <tableColumn id="12" xr3:uid="{0430E78B-7EA5-4C6B-AB84-06E6CED26B69}" name="HOMELESS RATE Z-SCORE" dataDxfId="131">
      <calculatedColumnFormula xml:space="preserve"> -1 * (Prosperity_Table[[#This Row],[HOMELESSNESS RATE]] - AVERAGE(Prosperity_Table[HOMELESSNESS RATE]))/_xlfn.STDEV.S(Prosperity_Table[HOMELESSNESS RATE])</calculatedColumnFormula>
    </tableColumn>
    <tableColumn id="13" xr3:uid="{ED9F7C9E-CA0B-47E8-82A2-9676B701E192}" name="PROSPERITY Z-SCORE" dataDxfId="130">
      <calculatedColumnFormula>(0.08 * C2) + (0.12 * D2) + (0.15 * E2) + (0.1 * F2) + (0.05 * G2) + (0.12 * H2) + (0.1 * I2) + (0.15 * J2) + (0.08 * K2) + (0.05 * 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AE47-0646-41EC-AAAF-ED078F0B0B45}">
  <dimension ref="A1:E13"/>
  <sheetViews>
    <sheetView workbookViewId="0">
      <pane ySplit="1" topLeftCell="A4" activePane="bottomLeft" state="frozen"/>
      <selection pane="bottomLeft" activeCell="E6" sqref="E6"/>
    </sheetView>
  </sheetViews>
  <sheetFormatPr defaultRowHeight="14.5" x14ac:dyDescent="0.35"/>
  <cols>
    <col min="1" max="1" width="8.81640625" bestFit="1" customWidth="1"/>
    <col min="2" max="2" width="13.1796875" bestFit="1" customWidth="1"/>
    <col min="3" max="3" width="10.54296875" bestFit="1" customWidth="1"/>
    <col min="4" max="4" width="25.1796875" bestFit="1" customWidth="1"/>
    <col min="5" max="5" width="32.1796875" style="2" bestFit="1" customWidth="1"/>
  </cols>
  <sheetData>
    <row r="1" spans="1:5" ht="18.5" x14ac:dyDescent="0.45">
      <c r="A1" s="3" t="s">
        <v>33</v>
      </c>
      <c r="B1" s="4" t="s">
        <v>34</v>
      </c>
      <c r="C1" s="4" t="s">
        <v>36</v>
      </c>
      <c r="D1" s="4" t="s">
        <v>37</v>
      </c>
      <c r="E1" s="5" t="s">
        <v>38</v>
      </c>
    </row>
    <row r="2" spans="1:5" ht="16" x14ac:dyDescent="0.4">
      <c r="A2" s="6" t="s">
        <v>1</v>
      </c>
      <c r="B2" s="7" t="s">
        <v>6</v>
      </c>
      <c r="C2" s="7" t="s">
        <v>17</v>
      </c>
      <c r="D2" s="7" t="s">
        <v>23</v>
      </c>
      <c r="E2" s="8">
        <v>5391890</v>
      </c>
    </row>
    <row r="3" spans="1:5" ht="16" x14ac:dyDescent="0.4">
      <c r="A3" s="6" t="s">
        <v>0</v>
      </c>
      <c r="B3" s="7" t="s">
        <v>5</v>
      </c>
      <c r="C3" s="7" t="s">
        <v>16</v>
      </c>
      <c r="D3" s="7" t="s">
        <v>22</v>
      </c>
      <c r="E3" s="8">
        <v>5248790</v>
      </c>
    </row>
    <row r="4" spans="1:5" ht="16" x14ac:dyDescent="0.4">
      <c r="A4" s="6" t="s">
        <v>2</v>
      </c>
      <c r="B4" s="7" t="s">
        <v>7</v>
      </c>
      <c r="C4" s="7" t="s">
        <v>18</v>
      </c>
      <c r="D4" s="7" t="s">
        <v>24</v>
      </c>
      <c r="E4" s="8">
        <v>2568170</v>
      </c>
    </row>
    <row r="5" spans="1:5" ht="16" x14ac:dyDescent="0.4">
      <c r="A5" s="6" t="s">
        <v>3</v>
      </c>
      <c r="B5" s="7" t="s">
        <v>8</v>
      </c>
      <c r="C5" s="7" t="s">
        <v>19</v>
      </c>
      <c r="D5" s="7" t="s">
        <v>25</v>
      </c>
      <c r="E5" s="8">
        <v>2169190</v>
      </c>
    </row>
    <row r="6" spans="1:5" ht="16" x14ac:dyDescent="0.4">
      <c r="A6" s="6" t="s">
        <v>4</v>
      </c>
      <c r="B6" s="7" t="s">
        <v>9</v>
      </c>
      <c r="C6" s="7" t="s">
        <v>20</v>
      </c>
      <c r="D6" s="7" t="s">
        <v>26</v>
      </c>
      <c r="E6" s="8">
        <v>1392940</v>
      </c>
    </row>
    <row r="7" spans="1:5" ht="16" x14ac:dyDescent="0.4">
      <c r="A7" s="6" t="s">
        <v>10</v>
      </c>
      <c r="B7" s="7" t="s">
        <v>11</v>
      </c>
      <c r="C7" s="7" t="s">
        <v>18</v>
      </c>
      <c r="D7" s="7" t="s">
        <v>24</v>
      </c>
      <c r="E7" s="8">
        <v>752570</v>
      </c>
    </row>
    <row r="8" spans="1:5" ht="16" x14ac:dyDescent="0.4">
      <c r="A8" s="6" t="s">
        <v>14</v>
      </c>
      <c r="B8" s="7" t="s">
        <v>15</v>
      </c>
      <c r="C8" s="7" t="s">
        <v>21</v>
      </c>
      <c r="D8" s="7" t="s">
        <v>27</v>
      </c>
      <c r="E8" s="8">
        <v>482986</v>
      </c>
    </row>
    <row r="9" spans="1:5" ht="16" x14ac:dyDescent="0.4">
      <c r="A9" s="9" t="s">
        <v>12</v>
      </c>
      <c r="B9" s="10" t="s">
        <v>13</v>
      </c>
      <c r="C9" s="10" t="s">
        <v>16</v>
      </c>
      <c r="D9" s="10" t="s">
        <v>22</v>
      </c>
      <c r="E9" s="11">
        <v>469794</v>
      </c>
    </row>
    <row r="13" spans="1:5" x14ac:dyDescent="0.35">
      <c r="E13" s="2" t="s">
        <v>259</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7A9E-7942-424F-BE39-7FF198AF53DE}">
  <dimension ref="A1:AA18"/>
  <sheetViews>
    <sheetView topLeftCell="A8" zoomScale="80" zoomScaleNormal="80" workbookViewId="0">
      <pane xSplit="2" topLeftCell="C1" activePane="topRight" state="frozen"/>
      <selection pane="topRight" activeCell="E4" sqref="E4"/>
    </sheetView>
  </sheetViews>
  <sheetFormatPr defaultRowHeight="14.5" x14ac:dyDescent="0.35"/>
  <cols>
    <col min="2" max="2" width="21.453125" bestFit="1" customWidth="1"/>
    <col min="3" max="3" width="15.54296875" bestFit="1" customWidth="1"/>
    <col min="4" max="4" width="25.81640625" bestFit="1" customWidth="1"/>
    <col min="5" max="5" width="36.26953125" style="13" bestFit="1" customWidth="1"/>
    <col min="6" max="6" width="21.26953125" style="13" customWidth="1"/>
    <col min="7" max="7" width="30.54296875" bestFit="1" customWidth="1"/>
    <col min="8" max="8" width="15.54296875" customWidth="1"/>
    <col min="9" max="9" width="26.26953125" bestFit="1" customWidth="1"/>
    <col min="10" max="10" width="15.81640625" customWidth="1"/>
    <col min="11" max="11" width="25.54296875" customWidth="1"/>
    <col min="12" max="12" width="15.81640625" customWidth="1"/>
    <col min="13" max="13" width="26.453125" customWidth="1"/>
    <col min="14" max="14" width="27.1796875" customWidth="1"/>
    <col min="15" max="15" width="26.453125" bestFit="1" customWidth="1"/>
    <col min="16" max="16" width="29.54296875" customWidth="1"/>
    <col min="17" max="17" width="40" customWidth="1"/>
    <col min="18" max="18" width="46.453125" bestFit="1" customWidth="1"/>
    <col min="19" max="19" width="58.26953125" customWidth="1"/>
    <col min="20" max="20" width="27.453125" customWidth="1"/>
    <col min="21" max="21" width="40" bestFit="1" customWidth="1"/>
    <col min="22" max="22" width="22.1796875" customWidth="1"/>
    <col min="23" max="23" width="32.54296875" customWidth="1"/>
    <col min="24" max="24" width="32.453125" customWidth="1"/>
    <col min="25" max="25" width="42.81640625" customWidth="1"/>
    <col min="26" max="26" width="23.81640625" customWidth="1"/>
    <col min="27" max="27" width="43.7265625" bestFit="1" customWidth="1"/>
  </cols>
  <sheetData>
    <row r="1" spans="1:27" ht="18.5" x14ac:dyDescent="0.45">
      <c r="A1" s="37" t="s">
        <v>33</v>
      </c>
      <c r="B1" s="37" t="s">
        <v>34</v>
      </c>
      <c r="C1" s="37" t="s">
        <v>221</v>
      </c>
      <c r="D1" s="58" t="s">
        <v>32</v>
      </c>
      <c r="E1" s="53" t="s">
        <v>144</v>
      </c>
      <c r="F1" s="37" t="s">
        <v>50</v>
      </c>
      <c r="G1" s="37" t="s">
        <v>145</v>
      </c>
      <c r="H1" s="37" t="s">
        <v>51</v>
      </c>
      <c r="I1" s="37" t="s">
        <v>146</v>
      </c>
      <c r="J1" s="37" t="s">
        <v>28</v>
      </c>
      <c r="K1" s="37" t="s">
        <v>148</v>
      </c>
      <c r="L1" s="37" t="s">
        <v>29</v>
      </c>
      <c r="M1" s="37" t="s">
        <v>150</v>
      </c>
      <c r="N1" s="37" t="s">
        <v>30</v>
      </c>
      <c r="O1" s="37" t="s">
        <v>152</v>
      </c>
      <c r="P1" s="86" t="s">
        <v>54</v>
      </c>
      <c r="Q1" s="86" t="s">
        <v>154</v>
      </c>
      <c r="R1" s="86" t="s">
        <v>55</v>
      </c>
      <c r="S1" s="86" t="s">
        <v>155</v>
      </c>
      <c r="T1" s="37" t="s">
        <v>31</v>
      </c>
      <c r="U1" s="37" t="s">
        <v>158</v>
      </c>
      <c r="V1" s="37" t="s">
        <v>35</v>
      </c>
      <c r="W1" s="37" t="s">
        <v>160</v>
      </c>
      <c r="X1" s="37" t="s">
        <v>162</v>
      </c>
      <c r="Y1" s="19" t="s">
        <v>163</v>
      </c>
      <c r="Z1" s="67" t="s">
        <v>165</v>
      </c>
    </row>
    <row r="2" spans="1:27" ht="16" x14ac:dyDescent="0.4">
      <c r="A2" s="23" t="s">
        <v>1</v>
      </c>
      <c r="B2" s="23" t="s">
        <v>6</v>
      </c>
      <c r="C2" s="12" t="s">
        <v>222</v>
      </c>
      <c r="D2" s="24">
        <v>392</v>
      </c>
      <c r="E2" s="46">
        <f>(Livability_Table[[#This Row],[SIGHTS &amp; LANDMARKS]] - AVERAGE(Livability_Table[SIGHTS &amp; LANDMARKS]))/_xlfn.STDEV.S(Livability_Table[SIGHTS &amp; LANDMARKS])</f>
        <v>2.0557593018275329</v>
      </c>
      <c r="F2" s="12">
        <v>91</v>
      </c>
      <c r="G2" s="25">
        <f>(Livability_Table[[#This Row],[NATURE &amp; PARKS]] - AVERAGE(Livability_Table[NATURE &amp; PARKS]))/_xlfn.STDEV.S(Livability_Table[NATURE &amp; PARKS])</f>
        <v>0.37434263526217737</v>
      </c>
      <c r="H2" s="12">
        <v>57</v>
      </c>
      <c r="I2" s="25">
        <f>(Livability_Table[[#This Row],[WALK SCORE]] - AVERAGE(Livability_Table[WALK SCORE]))/_xlfn.STDEV.S(Livability_Table[WALK SCORE])</f>
        <v>0.83472488350612728</v>
      </c>
      <c r="J2" s="12">
        <v>42</v>
      </c>
      <c r="K2" s="25">
        <f>(Livability_Table[[#This Row],[BIKE SCORE]] - AVERAGE(Livability_Table[BIKE SCORE]))/_xlfn.STDEV.S(Livability_Table[BIKE SCORE])</f>
        <v>0.57900694481637605</v>
      </c>
      <c r="L2" s="12">
        <v>38</v>
      </c>
      <c r="M2" s="25">
        <f>-1 * ((Livability_Table[[#This Row],[AIR QUALITY]] - AVERAGE(Livability_Table[AIR QUALITY]))/_xlfn.STDEV.S(Livability_Table[AIR QUALITY]))</f>
        <v>-0.54764310047940001</v>
      </c>
      <c r="N2" s="25">
        <v>11.72</v>
      </c>
      <c r="O2" s="25">
        <f xml:space="preserve"> -1 * (Livability_Table[[#This Row],[HEAT STRESS DAYS]] - AVERAGE(Livability_Table[HEAT STRESS DAYS]))/_xlfn.STDEV.S(Livability_Table[HEAT STRESS DAYS])</f>
        <v>-6.5407252901802521E-2</v>
      </c>
      <c r="P2" s="26">
        <v>2372.44</v>
      </c>
      <c r="Q2" s="49">
        <f xml:space="preserve"> -1 * (Livability_Table[[#This Row],[MEDIAN MONTHLY RENT]] - AVERAGE(Livability_Table[MEDIAN MONTHLY RENT]))/_xlfn.STDEV.S(Livability_Table[MEDIAN MONTHLY RENT])</f>
        <v>0.60187998246096408</v>
      </c>
      <c r="R2" s="26">
        <v>8237.67</v>
      </c>
      <c r="S2" s="49">
        <f>(Livability_Table[[#This Row],[MEDIAN MONTLY HOUSEHOLD INCOME]] - AVERAGE(Livability_Table[MEDIAN MONTLY HOUSEHOLD INCOME]))/_xlfn.STDEV.S(Livability_Table[MEDIAN MONTLY HOUSEHOLD INCOME])</f>
        <v>4.581737461429447E-2</v>
      </c>
      <c r="T2" s="27">
        <f>Livability_Table[[#This Row],[MEDIAN MONTHLY RENT]]/Livability_Table[[#This Row],[MEDIAN MONTLY HOUSEHOLD INCOME]]</f>
        <v>0.28799891231379748</v>
      </c>
      <c r="U2" s="51">
        <f>-1 * (Livability_Table[[#This Row],[RENT TO INCOME RATIO]] - AVERAGE(Livability_Table[RENT TO INCOME RATIO]))/_xlfn.STDEV.S(Livability_Table[RENT TO INCOME RATIO])</f>
        <v>0.61926301927613048</v>
      </c>
      <c r="V2" s="25">
        <v>83.3</v>
      </c>
      <c r="W2" s="25">
        <f>(Livability_Table[[#This Row],[LIFE EXPECTANCY]] - AVERAGE(Livability_Table[LIFE EXPECTANCY]))/_xlfn.STDEV.S(Livability_Table[LIFE EXPECTANCY])</f>
        <v>-0.42571574690854186</v>
      </c>
      <c r="X2" s="12">
        <v>27</v>
      </c>
      <c r="Y2" s="25">
        <f>(Livability_Table[[#This Row],[GP''s PER 100,000 RESIDENTS]] - AVERAGE(Livability_Table[GP''s PER 100,000 RESIDENTS]))/_xlfn.STDEV.S(Livability_Table[GP''s PER 100,000 RESIDENTS])</f>
        <v>-0.53941506327192101</v>
      </c>
      <c r="Z2" s="25">
        <f>VLOOKUP(Livability_Table[[#This Row],[CITY ID]], Livability_Z_Score_Table[#All], 14, FALSE)</f>
        <v>0.41625235073170097</v>
      </c>
    </row>
    <row r="3" spans="1:27" ht="16" x14ac:dyDescent="0.4">
      <c r="A3" s="7" t="s">
        <v>0</v>
      </c>
      <c r="B3" s="7" t="s">
        <v>5</v>
      </c>
      <c r="C3" s="12" t="s">
        <v>223</v>
      </c>
      <c r="D3" s="28">
        <v>248</v>
      </c>
      <c r="E3" s="47">
        <f>(Livability_Table[[#This Row],[SIGHTS &amp; LANDMARKS]] - AVERAGE(Livability_Table[SIGHTS &amp; LANDMARKS]))/_xlfn.STDEV.S(Livability_Table[SIGHTS &amp; LANDMARKS])</f>
        <v>0.86986309967163999</v>
      </c>
      <c r="F3" s="12">
        <v>160</v>
      </c>
      <c r="G3" s="25">
        <f>(Livability_Table[[#This Row],[NATURE &amp; PARKS]] - AVERAGE(Livability_Table[NATURE &amp; PARKS]))/_xlfn.STDEV.S(Livability_Table[NATURE &amp; PARKS])</f>
        <v>2.0014066877403027</v>
      </c>
      <c r="H3" s="12">
        <v>63</v>
      </c>
      <c r="I3" s="25">
        <f>(Livability_Table[[#This Row],[WALK SCORE]] - AVERAGE(Livability_Table[WALK SCORE]))/_xlfn.STDEV.S(Livability_Table[WALK SCORE])</f>
        <v>1.7250980925793298</v>
      </c>
      <c r="J3" s="12">
        <v>31</v>
      </c>
      <c r="K3" s="25">
        <f>(Livability_Table[[#This Row],[BIKE SCORE]] - AVERAGE(Livability_Table[BIKE SCORE]))/_xlfn.STDEV.S(Livability_Table[BIKE SCORE])</f>
        <v>-0.69480833377965123</v>
      </c>
      <c r="L3" s="12">
        <v>33</v>
      </c>
      <c r="M3" s="25">
        <f>-1 * ((Livability_Table[[#This Row],[AIR QUALITY]] - AVERAGE(Livability_Table[AIR QUALITY]))/_xlfn.STDEV.S(Livability_Table[AIR QUALITY]))</f>
        <v>-0.1633321527745579</v>
      </c>
      <c r="N3" s="25">
        <v>7.24</v>
      </c>
      <c r="O3" s="25">
        <f xml:space="preserve"> -1 * (Livability_Table[[#This Row],[HEAT STRESS DAYS]] - AVERAGE(Livability_Table[HEAT STRESS DAYS]))/_xlfn.STDEV.S(Livability_Table[HEAT STRESS DAYS])</f>
        <v>0.35469954709830559</v>
      </c>
      <c r="P3" s="26">
        <v>3308.64</v>
      </c>
      <c r="Q3" s="49">
        <f xml:space="preserve"> -1 * (Livability_Table[[#This Row],[MEDIAN MONTHLY RENT]] - AVERAGE(Livability_Table[MEDIAN MONTHLY RENT]))/_xlfn.STDEV.S(Livability_Table[MEDIAN MONTHLY RENT])</f>
        <v>-1.9527885260197464</v>
      </c>
      <c r="R3" s="26">
        <v>9000.33</v>
      </c>
      <c r="S3" s="49">
        <f>(Livability_Table[[#This Row],[MEDIAN MONTLY HOUSEHOLD INCOME]] - AVERAGE(Livability_Table[MEDIAN MONTLY HOUSEHOLD INCOME]))/_xlfn.STDEV.S(Livability_Table[MEDIAN MONTLY HOUSEHOLD INCOME])</f>
        <v>0.71082981962976244</v>
      </c>
      <c r="T3" s="27">
        <f>Livability_Table[[#This Row],[MEDIAN MONTHLY RENT]]/Livability_Table[[#This Row],[MEDIAN MONTLY HOUSEHOLD INCOME]]</f>
        <v>0.36761318751645772</v>
      </c>
      <c r="U3" s="51">
        <f>-1 * (Livability_Table[[#This Row],[RENT TO INCOME RATIO]] - AVERAGE(Livability_Table[RENT TO INCOME RATIO]))/_xlfn.STDEV.S(Livability_Table[RENT TO INCOME RATIO])</f>
        <v>-0.89495623043515737</v>
      </c>
      <c r="V3" s="25">
        <v>82.7</v>
      </c>
      <c r="W3" s="25">
        <f>(Livability_Table[[#This Row],[LIFE EXPECTANCY]] - AVERAGE(Livability_Table[LIFE EXPECTANCY]))/_xlfn.STDEV.S(Livability_Table[LIFE EXPECTANCY])</f>
        <v>-0.90093332485296118</v>
      </c>
      <c r="X3" s="12">
        <v>37</v>
      </c>
      <c r="Y3" s="25">
        <f>(Livability_Table[[#This Row],[GP''s PER 100,000 RESIDENTS]] - AVERAGE(Livability_Table[GP''s PER 100,000 RESIDENTS]))/_xlfn.STDEV.S(Livability_Table[GP''s PER 100,000 RESIDENTS])</f>
        <v>-3.173029783952476E-2</v>
      </c>
      <c r="Z3" s="25">
        <f>VLOOKUP(Livability_Table[[#This Row],[CITY ID]], Livability_Z_Score_Table[#All], 14, FALSE)</f>
        <v>0.11636113717765938</v>
      </c>
    </row>
    <row r="4" spans="1:27" ht="16" x14ac:dyDescent="0.4">
      <c r="A4" s="23" t="s">
        <v>2</v>
      </c>
      <c r="B4" s="23" t="s">
        <v>7</v>
      </c>
      <c r="C4" s="12" t="s">
        <v>224</v>
      </c>
      <c r="D4" s="24">
        <v>131</v>
      </c>
      <c r="E4" s="46">
        <f>(Livability_Table[[#This Row],[SIGHTS &amp; LANDMARKS]] - AVERAGE(Livability_Table[SIGHTS &amp; LANDMARKS]))/_xlfn.STDEV.S(Livability_Table[SIGHTS &amp; LANDMARKS])</f>
        <v>-9.3677564580022771E-2</v>
      </c>
      <c r="F4" s="12">
        <v>71</v>
      </c>
      <c r="G4" s="25">
        <f>(Livability_Table[[#This Row],[NATURE &amp; PARKS]] - AVERAGE(Livability_Table[NATURE &amp; PARKS]))/_xlfn.STDEV.S(Livability_Table[NATURE &amp; PARKS])</f>
        <v>-9.7270133572061837E-2</v>
      </c>
      <c r="H4" s="12">
        <v>51</v>
      </c>
      <c r="I4" s="25">
        <f>(Livability_Table[[#This Row],[WALK SCORE]] - AVERAGE(Livability_Table[WALK SCORE]))/_xlfn.STDEV.S(Livability_Table[WALK SCORE])</f>
        <v>-5.5648325567075149E-2</v>
      </c>
      <c r="J4" s="12">
        <v>36</v>
      </c>
      <c r="K4" s="25">
        <f>(Livability_Table[[#This Row],[BIKE SCORE]] - AVERAGE(Livability_Table[BIKE SCORE]))/_xlfn.STDEV.S(Livability_Table[BIKE SCORE])</f>
        <v>-0.1158013889632752</v>
      </c>
      <c r="L4" s="12">
        <v>14</v>
      </c>
      <c r="M4" s="25">
        <f>-1 * ((Livability_Table[[#This Row],[AIR QUALITY]] - AVERAGE(Livability_Table[AIR QUALITY]))/_xlfn.STDEV.S(Livability_Table[AIR QUALITY]))</f>
        <v>1.297049448503842</v>
      </c>
      <c r="N4" s="25">
        <v>5.84</v>
      </c>
      <c r="O4" s="25">
        <f xml:space="preserve"> -1 * (Livability_Table[[#This Row],[HEAT STRESS DAYS]] - AVERAGE(Livability_Table[HEAT STRESS DAYS]))/_xlfn.STDEV.S(Livability_Table[HEAT STRESS DAYS])</f>
        <v>0.48598292209833938</v>
      </c>
      <c r="P4" s="26">
        <v>2478.2399999999998</v>
      </c>
      <c r="Q4" s="49">
        <f xml:space="preserve"> -1 * (Livability_Table[[#This Row],[MEDIAN MONTHLY RENT]] - AVERAGE(Livability_Table[MEDIAN MONTHLY RENT]))/_xlfn.STDEV.S(Livability_Table[MEDIAN MONTHLY RENT])</f>
        <v>0.31317679062454185</v>
      </c>
      <c r="R4" s="26">
        <v>8012.33</v>
      </c>
      <c r="S4" s="49">
        <f>(Livability_Table[[#This Row],[MEDIAN MONTLY HOUSEHOLD INCOME]] - AVERAGE(Livability_Table[MEDIAN MONTLY HOUSEHOLD INCOME]))/_xlfn.STDEV.S(Livability_Table[MEDIAN MONTLY HOUSEHOLD INCOME])</f>
        <v>-0.15067110565186043</v>
      </c>
      <c r="T4" s="27">
        <f>Livability_Table[[#This Row],[MEDIAN MONTHLY RENT]]/Livability_Table[[#This Row],[MEDIAN MONTLY HOUSEHOLD INCOME]]</f>
        <v>0.30930328630997472</v>
      </c>
      <c r="U4" s="51">
        <f>-1 * (Livability_Table[[#This Row],[RENT TO INCOME RATIO]] - AVERAGE(Livability_Table[RENT TO INCOME RATIO]))/_xlfn.STDEV.S(Livability_Table[RENT TO INCOME RATIO])</f>
        <v>0.21406567086163092</v>
      </c>
      <c r="V4" s="25">
        <v>85.7</v>
      </c>
      <c r="W4" s="25">
        <f>(Livability_Table[[#This Row],[LIFE EXPECTANCY]] - AVERAGE(Livability_Table[LIFE EXPECTANCY]))/_xlfn.STDEV.S(Livability_Table[LIFE EXPECTANCY])</f>
        <v>1.475154564869158</v>
      </c>
      <c r="X4" s="12">
        <v>25</v>
      </c>
      <c r="Y4" s="25">
        <f>(Livability_Table[[#This Row],[GP''s PER 100,000 RESIDENTS]] - AVERAGE(Livability_Table[GP''s PER 100,000 RESIDENTS]))/_xlfn.STDEV.S(Livability_Table[GP''s PER 100,000 RESIDENTS])</f>
        <v>-0.64095201635840016</v>
      </c>
      <c r="Z4" s="25">
        <f>VLOOKUP(Livability_Table[[#This Row],[CITY ID]], Livability_Z_Score_Table[#All], 14, FALSE)</f>
        <v>0.12620242089801126</v>
      </c>
    </row>
    <row r="5" spans="1:27" ht="16" x14ac:dyDescent="0.4">
      <c r="A5" s="7" t="s">
        <v>3</v>
      </c>
      <c r="B5" s="7" t="s">
        <v>8</v>
      </c>
      <c r="C5" s="12" t="s">
        <v>225</v>
      </c>
      <c r="D5" s="28">
        <v>93</v>
      </c>
      <c r="E5" s="47">
        <f>(Livability_Table[[#This Row],[SIGHTS &amp; LANDMARKS]] - AVERAGE(Livability_Table[SIGHTS &amp; LANDMARKS]))/_xlfn.STDEV.S(Livability_Table[SIGHTS &amp; LANDMARKS])</f>
        <v>-0.40662239570449443</v>
      </c>
      <c r="F5" s="12">
        <v>39</v>
      </c>
      <c r="G5" s="25">
        <f>(Livability_Table[[#This Row],[NATURE &amp; PARKS]] - AVERAGE(Livability_Table[NATURE &amp; PARKS]))/_xlfn.STDEV.S(Livability_Table[NATURE &amp; PARKS])</f>
        <v>-0.85185056370684453</v>
      </c>
      <c r="H5" s="12">
        <v>50</v>
      </c>
      <c r="I5" s="25">
        <f>(Livability_Table[[#This Row],[WALK SCORE]] - AVERAGE(Livability_Table[WALK SCORE]))/_xlfn.STDEV.S(Livability_Table[WALK SCORE])</f>
        <v>-0.20404386041260889</v>
      </c>
      <c r="J5" s="12">
        <v>36</v>
      </c>
      <c r="K5" s="25">
        <f>(Livability_Table[[#This Row],[BIKE SCORE]] - AVERAGE(Livability_Table[BIKE SCORE]))/_xlfn.STDEV.S(Livability_Table[BIKE SCORE])</f>
        <v>-0.1158013889632752</v>
      </c>
      <c r="L5" s="12">
        <v>28</v>
      </c>
      <c r="M5" s="25">
        <f>-1 * ((Livability_Table[[#This Row],[AIR QUALITY]] - AVERAGE(Livability_Table[AIR QUALITY]))/_xlfn.STDEV.S(Livability_Table[AIR QUALITY]))</f>
        <v>0.22097879493028422</v>
      </c>
      <c r="N5" s="25">
        <v>34.6</v>
      </c>
      <c r="O5" s="25">
        <f xml:space="preserve"> -1 * (Livability_Table[[#This Row],[HEAT STRESS DAYS]] - AVERAGE(Livability_Table[HEAT STRESS DAYS]))/_xlfn.STDEV.S(Livability_Table[HEAT STRESS DAYS])</f>
        <v>-2.2109526957594974</v>
      </c>
      <c r="P5" s="26">
        <v>2452</v>
      </c>
      <c r="Q5" s="49">
        <f xml:space="preserve"> -1 * (Livability_Table[[#This Row],[MEDIAN MONTHLY RENT]] - AVERAGE(Livability_Table[MEDIAN MONTHLY RENT]))/_xlfn.STDEV.S(Livability_Table[MEDIAN MONTHLY RENT])</f>
        <v>0.38477954822177884</v>
      </c>
      <c r="R5" s="26">
        <v>8081.67</v>
      </c>
      <c r="S5" s="49">
        <f>(Livability_Table[[#This Row],[MEDIAN MONTLY HOUSEHOLD INCOME]] - AVERAGE(Livability_Table[MEDIAN MONTLY HOUSEHOLD INCOME]))/_xlfn.STDEV.S(Livability_Table[MEDIAN MONTLY HOUSEHOLD INCOME])</f>
        <v>-9.0209087272277569E-2</v>
      </c>
      <c r="T5" s="27">
        <f>Livability_Table[[#This Row],[MEDIAN MONTHLY RENT]]/Livability_Table[[#This Row],[MEDIAN MONTLY HOUSEHOLD INCOME]]</f>
        <v>0.3034026383160906</v>
      </c>
      <c r="U5" s="51">
        <f>-1 * (Livability_Table[[#This Row],[RENT TO INCOME RATIO]] - AVERAGE(Livability_Table[RENT TO INCOME RATIO]))/_xlfn.STDEV.S(Livability_Table[RENT TO INCOME RATIO])</f>
        <v>0.3262927150112595</v>
      </c>
      <c r="V5" s="25">
        <v>85</v>
      </c>
      <c r="W5" s="25">
        <f>(Livability_Table[[#This Row],[LIFE EXPECTANCY]] - AVERAGE(Livability_Table[LIFE EXPECTANCY]))/_xlfn.STDEV.S(Livability_Table[LIFE EXPECTANCY])</f>
        <v>0.92073405726732793</v>
      </c>
      <c r="X5" s="12">
        <v>55</v>
      </c>
      <c r="Y5" s="25">
        <f>(Livability_Table[[#This Row],[GP''s PER 100,000 RESIDENTS]] - AVERAGE(Livability_Table[GP''s PER 100,000 RESIDENTS]))/_xlfn.STDEV.S(Livability_Table[GP''s PER 100,000 RESIDENTS])</f>
        <v>0.88210227993878843</v>
      </c>
      <c r="Z5" s="25">
        <f>VLOOKUP(Livability_Table[[#This Row],[CITY ID]], Livability_Z_Score_Table[#All], 14, FALSE)</f>
        <v>-8.4280005798179472E-2</v>
      </c>
    </row>
    <row r="6" spans="1:27" ht="16" x14ac:dyDescent="0.4">
      <c r="A6" s="23" t="s">
        <v>4</v>
      </c>
      <c r="B6" s="23" t="s">
        <v>9</v>
      </c>
      <c r="C6" s="12" t="s">
        <v>226</v>
      </c>
      <c r="D6" s="24">
        <v>83</v>
      </c>
      <c r="E6" s="46">
        <f>(Livability_Table[[#This Row],[SIGHTS &amp; LANDMARKS]] - AVERAGE(Livability_Table[SIGHTS &amp; LANDMARKS]))/_xlfn.STDEV.S(Livability_Table[SIGHTS &amp; LANDMARKS])</f>
        <v>-0.48897629863198699</v>
      </c>
      <c r="F6" s="12">
        <v>62</v>
      </c>
      <c r="G6" s="25">
        <f>(Livability_Table[[#This Row],[NATURE &amp; PARKS]] - AVERAGE(Livability_Table[NATURE &amp; PARKS]))/_xlfn.STDEV.S(Livability_Table[NATURE &amp; PARKS])</f>
        <v>-0.30949587954746949</v>
      </c>
      <c r="H6" s="12">
        <v>53</v>
      </c>
      <c r="I6" s="25">
        <f>(Livability_Table[[#This Row],[WALK SCORE]] - AVERAGE(Livability_Table[WALK SCORE]))/_xlfn.STDEV.S(Livability_Table[WALK SCORE])</f>
        <v>0.24114274412399234</v>
      </c>
      <c r="J6" s="12">
        <v>32</v>
      </c>
      <c r="K6" s="25">
        <f>(Livability_Table[[#This Row],[BIKE SCORE]] - AVERAGE(Livability_Table[BIKE SCORE]))/_xlfn.STDEV.S(Livability_Table[BIKE SCORE])</f>
        <v>-0.57900694481637605</v>
      </c>
      <c r="L6" s="12">
        <v>28</v>
      </c>
      <c r="M6" s="25">
        <f>-1 * ((Livability_Table[[#This Row],[AIR QUALITY]] - AVERAGE(Livability_Table[AIR QUALITY]))/_xlfn.STDEV.S(Livability_Table[AIR QUALITY]))</f>
        <v>0.22097879493028422</v>
      </c>
      <c r="N6" s="25">
        <v>16.72</v>
      </c>
      <c r="O6" s="25">
        <f xml:space="preserve"> -1 * (Livability_Table[[#This Row],[HEAT STRESS DAYS]] - AVERAGE(Livability_Table[HEAT STRESS DAYS]))/_xlfn.STDEV.S(Livability_Table[HEAT STRESS DAYS])</f>
        <v>-0.53427644933049434</v>
      </c>
      <c r="P6" s="26">
        <v>2358.89</v>
      </c>
      <c r="Q6" s="49">
        <f xml:space="preserve"> -1 * (Livability_Table[[#This Row],[MEDIAN MONTHLY RENT]] - AVERAGE(Livability_Table[MEDIAN MONTHLY RENT]))/_xlfn.STDEV.S(Livability_Table[MEDIAN MONTHLY RENT])</f>
        <v>0.6388547296195991</v>
      </c>
      <c r="R6" s="26">
        <v>6708</v>
      </c>
      <c r="S6" s="49">
        <f>(Livability_Table[[#This Row],[MEDIAN MONTLY HOUSEHOLD INCOME]] - AVERAGE(Livability_Table[MEDIAN MONTLY HOUSEHOLD INCOME]))/_xlfn.STDEV.S(Livability_Table[MEDIAN MONTLY HOUSEHOLD INCOME])</f>
        <v>-1.288000560988479</v>
      </c>
      <c r="T6" s="27">
        <f>Livability_Table[[#This Row],[MEDIAN MONTHLY RENT]]/Livability_Table[[#This Row],[MEDIAN MONTLY HOUSEHOLD INCOME]]</f>
        <v>0.35165324985092428</v>
      </c>
      <c r="U6" s="51">
        <f>-1 * (Livability_Table[[#This Row],[RENT TO INCOME RATIO]] - AVERAGE(Livability_Table[RENT TO INCOME RATIO]))/_xlfn.STDEV.S(Livability_Table[RENT TO INCOME RATIO])</f>
        <v>-0.59140708958289656</v>
      </c>
      <c r="V6" s="25">
        <v>84.8</v>
      </c>
      <c r="W6" s="25">
        <f>(Livability_Table[[#This Row],[LIFE EXPECTANCY]] - AVERAGE(Livability_Table[LIFE EXPECTANCY]))/_xlfn.STDEV.S(Livability_Table[LIFE EXPECTANCY])</f>
        <v>0.76232819795251772</v>
      </c>
      <c r="X6" s="12">
        <v>79</v>
      </c>
      <c r="Y6" s="25">
        <f>(Livability_Table[[#This Row],[GP''s PER 100,000 RESIDENTS]] - AVERAGE(Livability_Table[GP''s PER 100,000 RESIDENTS]))/_xlfn.STDEV.S(Livability_Table[GP''s PER 100,000 RESIDENTS])</f>
        <v>2.1005457169765394</v>
      </c>
      <c r="Z6" s="25">
        <f>VLOOKUP(Livability_Table[[#This Row],[CITY ID]], Livability_Z_Score_Table[#All], 14, FALSE)</f>
        <v>-6.2745187503844058E-2</v>
      </c>
    </row>
    <row r="7" spans="1:27" ht="16" x14ac:dyDescent="0.4">
      <c r="A7" s="7" t="s">
        <v>10</v>
      </c>
      <c r="B7" s="7" t="s">
        <v>11</v>
      </c>
      <c r="C7" s="12" t="s">
        <v>227</v>
      </c>
      <c r="D7" s="28">
        <v>55</v>
      </c>
      <c r="E7" s="47">
        <f>(Livability_Table[[#This Row],[SIGHTS &amp; LANDMARKS]] - AVERAGE(Livability_Table[SIGHTS &amp; LANDMARKS]))/_xlfn.STDEV.S(Livability_Table[SIGHTS &amp; LANDMARKS])</f>
        <v>-0.71956722682896612</v>
      </c>
      <c r="F7" s="12">
        <v>98</v>
      </c>
      <c r="G7" s="25">
        <f>(Livability_Table[[#This Row],[NATURE &amp; PARKS]] - AVERAGE(Livability_Table[NATURE &amp; PARKS]))/_xlfn.STDEV.S(Livability_Table[NATURE &amp; PARKS])</f>
        <v>0.53940710435416106</v>
      </c>
      <c r="H7" s="12">
        <v>48</v>
      </c>
      <c r="I7" s="25">
        <f>(Livability_Table[[#This Row],[WALK SCORE]] - AVERAGE(Livability_Table[WALK SCORE]))/_xlfn.STDEV.S(Livability_Table[WALK SCORE])</f>
        <v>-0.50083493010367641</v>
      </c>
      <c r="J7" s="12">
        <v>34</v>
      </c>
      <c r="K7" s="25">
        <f>(Livability_Table[[#This Row],[BIKE SCORE]] - AVERAGE(Livability_Table[BIKE SCORE]))/_xlfn.STDEV.S(Livability_Table[BIKE SCORE])</f>
        <v>-0.34740416688982562</v>
      </c>
      <c r="L7" s="12">
        <v>17</v>
      </c>
      <c r="M7" s="25">
        <f>-1 * ((Livability_Table[[#This Row],[AIR QUALITY]] - AVERAGE(Livability_Table[AIR QUALITY]))/_xlfn.STDEV.S(Livability_Table[AIR QUALITY]))</f>
        <v>1.0664628798809368</v>
      </c>
      <c r="N7" s="25">
        <v>1.2</v>
      </c>
      <c r="O7" s="25">
        <f xml:space="preserve"> -1 * (Livability_Table[[#This Row],[HEAT STRESS DAYS]] - AVERAGE(Livability_Table[HEAT STRESS DAYS]))/_xlfn.STDEV.S(Livability_Table[HEAT STRESS DAYS])</f>
        <v>0.92109353638416558</v>
      </c>
      <c r="P7" s="26">
        <v>2997.5</v>
      </c>
      <c r="Q7" s="49">
        <f xml:space="preserve"> -1 * (Livability_Table[[#This Row],[MEDIAN MONTHLY RENT]] - AVERAGE(Livability_Table[MEDIAN MONTHLY RENT]))/_xlfn.STDEV.S(Livability_Table[MEDIAN MONTHLY RENT])</f>
        <v>-1.103761010821404</v>
      </c>
      <c r="R7" s="26">
        <v>7332</v>
      </c>
      <c r="S7" s="49">
        <f>(Livability_Table[[#This Row],[MEDIAN MONTLY HOUSEHOLD INCOME]] - AVERAGE(Livability_Table[MEDIAN MONTLY HOUSEHOLD INCOME]))/_xlfn.STDEV.S(Livability_Table[MEDIAN MONTLY HOUSEHOLD INCOME])</f>
        <v>-0.74389471344219082</v>
      </c>
      <c r="T7" s="27">
        <f>Livability_Table[[#This Row],[MEDIAN MONTHLY RENT]]/Livability_Table[[#This Row],[MEDIAN MONTLY HOUSEHOLD INCOME]]</f>
        <v>0.40882433169667215</v>
      </c>
      <c r="U7" s="51">
        <f>-1 * (Livability_Table[[#This Row],[RENT TO INCOME RATIO]] - AVERAGE(Livability_Table[RENT TO INCOME RATIO]))/_xlfn.STDEV.S(Livability_Table[RENT TO INCOME RATIO])</f>
        <v>-1.6787692798092837</v>
      </c>
      <c r="V7" s="25">
        <v>83.7</v>
      </c>
      <c r="W7" s="25">
        <f>(Livability_Table[[#This Row],[LIFE EXPECTANCY]] - AVERAGE(Livability_Table[LIFE EXPECTANCY]))/_xlfn.STDEV.S(Livability_Table[LIFE EXPECTANCY])</f>
        <v>-0.10890402827892146</v>
      </c>
      <c r="X7" s="12">
        <v>28</v>
      </c>
      <c r="Y7" s="25">
        <f>(Livability_Table[[#This Row],[GP''s PER 100,000 RESIDENTS]] - AVERAGE(Livability_Table[GP''s PER 100,000 RESIDENTS]))/_xlfn.STDEV.S(Livability_Table[GP''s PER 100,000 RESIDENTS])</f>
        <v>-0.48864658672868133</v>
      </c>
      <c r="Z7" s="25">
        <f>VLOOKUP(Livability_Table[[#This Row],[CITY ID]], Livability_Z_Score_Table[#All], 14, FALSE)</f>
        <v>-0.45758444867621406</v>
      </c>
    </row>
    <row r="8" spans="1:27" ht="16" x14ac:dyDescent="0.4">
      <c r="A8" s="23" t="s">
        <v>14</v>
      </c>
      <c r="B8" s="23" t="s">
        <v>15</v>
      </c>
      <c r="C8" s="12" t="s">
        <v>228</v>
      </c>
      <c r="D8" s="24">
        <v>119</v>
      </c>
      <c r="E8" s="46">
        <f>(Livability_Table[[#This Row],[SIGHTS &amp; LANDMARKS]] - AVERAGE(Livability_Table[SIGHTS &amp; LANDMARKS]))/_xlfn.STDEV.S(Livability_Table[SIGHTS &amp; LANDMARKS])</f>
        <v>-0.19250224809301383</v>
      </c>
      <c r="F8" s="12">
        <v>58</v>
      </c>
      <c r="G8" s="25">
        <f>(Livability_Table[[#This Row],[NATURE &amp; PARKS]] - AVERAGE(Livability_Table[NATURE &amp; PARKS]))/_xlfn.STDEV.S(Livability_Table[NATURE &amp; PARKS])</f>
        <v>-0.40381843331431733</v>
      </c>
      <c r="H8" s="12">
        <v>40</v>
      </c>
      <c r="I8" s="25">
        <f>(Livability_Table[[#This Row],[WALK SCORE]] - AVERAGE(Livability_Table[WALK SCORE]))/_xlfn.STDEV.S(Livability_Table[WALK SCORE])</f>
        <v>-1.6879992088679463</v>
      </c>
      <c r="J8" s="12">
        <v>56</v>
      </c>
      <c r="K8" s="25">
        <f>(Livability_Table[[#This Row],[BIKE SCORE]] - AVERAGE(Livability_Table[BIKE SCORE]))/_xlfn.STDEV.S(Livability_Table[BIKE SCORE])</f>
        <v>2.200226390302229</v>
      </c>
      <c r="L8" s="12">
        <v>33</v>
      </c>
      <c r="M8" s="25">
        <f>-1 * ((Livability_Table[[#This Row],[AIR QUALITY]] - AVERAGE(Livability_Table[AIR QUALITY]))/_xlfn.STDEV.S(Livability_Table[AIR QUALITY]))</f>
        <v>-0.1633321527745579</v>
      </c>
      <c r="N8" s="25">
        <v>7.3</v>
      </c>
      <c r="O8" s="25">
        <f xml:space="preserve"> -1 * (Livability_Table[[#This Row],[HEAT STRESS DAYS]] - AVERAGE(Livability_Table[HEAT STRESS DAYS]))/_xlfn.STDEV.S(Livability_Table[HEAT STRESS DAYS])</f>
        <v>0.34907311674116132</v>
      </c>
      <c r="P8" s="26">
        <v>2536.36</v>
      </c>
      <c r="Q8" s="49">
        <f xml:space="preserve"> -1 * (Livability_Table[[#This Row],[MEDIAN MONTHLY RENT]] - AVERAGE(Livability_Table[MEDIAN MONTHLY RENT]))/_xlfn.STDEV.S(Livability_Table[MEDIAN MONTHLY RENT])</f>
        <v>0.15458104856846427</v>
      </c>
      <c r="R8" s="26">
        <v>10482.33</v>
      </c>
      <c r="S8" s="49">
        <f>(Livability_Table[[#This Row],[MEDIAN MONTLY HOUSEHOLD INCOME]] - AVERAGE(Livability_Table[MEDIAN MONTLY HOUSEHOLD INCOME]))/_xlfn.STDEV.S(Livability_Table[MEDIAN MONTLY HOUSEHOLD INCOME])</f>
        <v>2.0030812075521967</v>
      </c>
      <c r="T8" s="27">
        <f>Livability_Table[[#This Row],[MEDIAN MONTHLY RENT]]/Livability_Table[[#This Row],[MEDIAN MONTLY HOUSEHOLD INCOME]]</f>
        <v>0.2419652882517532</v>
      </c>
      <c r="U8" s="51">
        <f>-1 * (Livability_Table[[#This Row],[RENT TO INCOME RATIO]] - AVERAGE(Livability_Table[RENT TO INCOME RATIO]))/_xlfn.STDEV.S(Livability_Table[RENT TO INCOME RATIO])</f>
        <v>1.4947969547579805</v>
      </c>
      <c r="V8" s="25">
        <v>83.6</v>
      </c>
      <c r="W8" s="25">
        <f>(Livability_Table[[#This Row],[LIFE EXPECTANCY]] - AVERAGE(Livability_Table[LIFE EXPECTANCY]))/_xlfn.STDEV.S(Livability_Table[LIFE EXPECTANCY])</f>
        <v>-0.18810695793633217</v>
      </c>
      <c r="X8" s="12">
        <v>22</v>
      </c>
      <c r="Y8" s="25">
        <f>(Livability_Table[[#This Row],[GP''s PER 100,000 RESIDENTS]] - AVERAGE(Livability_Table[GP''s PER 100,000 RESIDENTS]))/_xlfn.STDEV.S(Livability_Table[GP''s PER 100,000 RESIDENTS])</f>
        <v>-0.79325744598811909</v>
      </c>
      <c r="Z8" s="25">
        <f>VLOOKUP(Livability_Table[[#This Row],[CITY ID]], Livability_Z_Score_Table[#All], 14, FALSE)</f>
        <v>0.33988765188250908</v>
      </c>
    </row>
    <row r="9" spans="1:27" ht="16" x14ac:dyDescent="0.4">
      <c r="A9" s="7" t="s">
        <v>12</v>
      </c>
      <c r="B9" s="7" t="s">
        <v>13</v>
      </c>
      <c r="C9" s="12" t="s">
        <v>229</v>
      </c>
      <c r="D9" s="28">
        <v>18</v>
      </c>
      <c r="E9" s="47">
        <f>(Livability_Table[[#This Row],[SIGHTS &amp; LANDMARKS]] - AVERAGE(Livability_Table[SIGHTS &amp; LANDMARKS]))/_xlfn.STDEV.S(Livability_Table[SIGHTS &amp; LANDMARKS])</f>
        <v>-1.0242766676606885</v>
      </c>
      <c r="F9" s="12">
        <v>22</v>
      </c>
      <c r="G9" s="25">
        <f>(Livability_Table[[#This Row],[NATURE &amp; PARKS]] - AVERAGE(Livability_Table[NATURE &amp; PARKS]))/_xlfn.STDEV.S(Livability_Table[NATURE &amp; PARKS])</f>
        <v>-1.2527214172159478</v>
      </c>
      <c r="H9" s="12">
        <v>49</v>
      </c>
      <c r="I9" s="25">
        <f>(Livability_Table[[#This Row],[WALK SCORE]] - AVERAGE(Livability_Table[WALK SCORE]))/_xlfn.STDEV.S(Livability_Table[WALK SCORE])</f>
        <v>-0.35243939525814261</v>
      </c>
      <c r="J9" s="12">
        <v>29</v>
      </c>
      <c r="K9" s="25">
        <f>(Livability_Table[[#This Row],[BIKE SCORE]] - AVERAGE(Livability_Table[BIKE SCORE]))/_xlfn.STDEV.S(Livability_Table[BIKE SCORE])</f>
        <v>-0.92641111170620161</v>
      </c>
      <c r="L9" s="12">
        <v>56</v>
      </c>
      <c r="M9" s="25">
        <f>-1 * ((Livability_Table[[#This Row],[AIR QUALITY]] - AVERAGE(Livability_Table[AIR QUALITY]))/_xlfn.STDEV.S(Livability_Table[AIR QUALITY]))</f>
        <v>-1.9311625122168314</v>
      </c>
      <c r="N9" s="25">
        <v>3.56</v>
      </c>
      <c r="O9" s="25">
        <f xml:space="preserve"> -1 * (Livability_Table[[#This Row],[HEAT STRESS DAYS]] - AVERAGE(Livability_Table[HEAT STRESS DAYS]))/_xlfn.STDEV.S(Livability_Table[HEAT STRESS DAYS])</f>
        <v>0.69978727566982291</v>
      </c>
      <c r="P9" s="26">
        <v>2240</v>
      </c>
      <c r="Q9" s="49">
        <f xml:space="preserve"> -1 * (Livability_Table[[#This Row],[MEDIAN MONTHLY RENT]] - AVERAGE(Livability_Table[MEDIAN MONTHLY RENT]))/_xlfn.STDEV.S(Livability_Table[MEDIAN MONTHLY RENT])</f>
        <v>0.96327743734580229</v>
      </c>
      <c r="R9" s="26">
        <v>7626.67</v>
      </c>
      <c r="S9" s="49">
        <f>(Livability_Table[[#This Row],[MEDIAN MONTLY HOUSEHOLD INCOME]] - AVERAGE(Livability_Table[MEDIAN MONTLY HOUSEHOLD INCOME]))/_xlfn.STDEV.S(Livability_Table[MEDIAN MONTLY HOUSEHOLD INCOME])</f>
        <v>-0.48695293444144599</v>
      </c>
      <c r="T9" s="27">
        <f>Livability_Table[[#This Row],[MEDIAN MONTHLY RENT]]/Livability_Table[[#This Row],[MEDIAN MONTLY HOUSEHOLD INCOME]]</f>
        <v>0.29370616533821442</v>
      </c>
      <c r="U9" s="51">
        <f>-1 * (Livability_Table[[#This Row],[RENT TO INCOME RATIO]] - AVERAGE(Livability_Table[RENT TO INCOME RATIO]))/_xlfn.STDEV.S(Livability_Table[RENT TO INCOME RATIO])</f>
        <v>0.5107142399203356</v>
      </c>
      <c r="V9" s="25">
        <v>81.900000000000006</v>
      </c>
      <c r="W9" s="25">
        <f>(Livability_Table[[#This Row],[LIFE EXPECTANCY]] - AVERAGE(Livability_Table[LIFE EXPECTANCY]))/_xlfn.STDEV.S(Livability_Table[LIFE EXPECTANCY])</f>
        <v>-1.5345567621121907</v>
      </c>
      <c r="X9" s="12">
        <v>28</v>
      </c>
      <c r="Y9" s="25">
        <f>(Livability_Table[[#This Row],[GP''s PER 100,000 RESIDENTS]] - AVERAGE(Livability_Table[GP''s PER 100,000 RESIDENTS]))/_xlfn.STDEV.S(Livability_Table[GP''s PER 100,000 RESIDENTS])</f>
        <v>-0.48864658672868133</v>
      </c>
      <c r="Z9" s="25">
        <f>VLOOKUP(Livability_Table[[#This Row],[CITY ID]], Livability_Z_Score_Table[#All], 14, FALSE)</f>
        <v>-0.3940939187116404</v>
      </c>
    </row>
    <row r="14" spans="1:27" ht="88.5" customHeight="1" x14ac:dyDescent="0.45">
      <c r="B14" s="37" t="s">
        <v>76</v>
      </c>
      <c r="D14" s="14" t="s">
        <v>53</v>
      </c>
      <c r="E14" s="14" t="s">
        <v>264</v>
      </c>
      <c r="F14" s="15" t="s">
        <v>52</v>
      </c>
      <c r="G14" s="15" t="s">
        <v>265</v>
      </c>
      <c r="H14" s="15" t="s">
        <v>266</v>
      </c>
      <c r="I14" s="15" t="s">
        <v>147</v>
      </c>
      <c r="J14" s="15" t="s">
        <v>267</v>
      </c>
      <c r="K14" s="15" t="s">
        <v>149</v>
      </c>
      <c r="L14" s="15" t="s">
        <v>90</v>
      </c>
      <c r="M14" s="15" t="s">
        <v>151</v>
      </c>
      <c r="N14" s="15" t="s">
        <v>91</v>
      </c>
      <c r="O14" s="15" t="s">
        <v>153</v>
      </c>
      <c r="P14" s="15" t="s">
        <v>86</v>
      </c>
      <c r="Q14" s="15" t="s">
        <v>156</v>
      </c>
      <c r="R14" s="15" t="s">
        <v>89</v>
      </c>
      <c r="S14" s="15" t="s">
        <v>157</v>
      </c>
      <c r="T14" s="15" t="s">
        <v>56</v>
      </c>
      <c r="U14" s="15" t="s">
        <v>159</v>
      </c>
      <c r="V14" s="15" t="s">
        <v>104</v>
      </c>
      <c r="W14" s="15" t="s">
        <v>161</v>
      </c>
      <c r="X14" s="15" t="s">
        <v>102</v>
      </c>
      <c r="Y14" s="15" t="s">
        <v>164</v>
      </c>
      <c r="Z14" s="15"/>
    </row>
    <row r="16" spans="1:27" ht="30" x14ac:dyDescent="0.45">
      <c r="B16" s="38" t="s">
        <v>77</v>
      </c>
      <c r="D16" s="13" t="s">
        <v>79</v>
      </c>
      <c r="F16" s="13" t="s">
        <v>79</v>
      </c>
      <c r="G16" s="13"/>
      <c r="H16" s="13" t="s">
        <v>80</v>
      </c>
      <c r="I16" s="13"/>
      <c r="J16" s="13" t="s">
        <v>81</v>
      </c>
      <c r="K16" s="13"/>
      <c r="L16" s="13" t="s">
        <v>82</v>
      </c>
      <c r="M16" s="13"/>
      <c r="N16" s="15" t="s">
        <v>83</v>
      </c>
      <c r="O16" s="15"/>
      <c r="P16" s="13" t="s">
        <v>85</v>
      </c>
      <c r="Q16" s="13"/>
      <c r="R16" t="s">
        <v>88</v>
      </c>
      <c r="V16" s="15" t="s">
        <v>103</v>
      </c>
      <c r="W16" s="15"/>
      <c r="X16" s="15" t="s">
        <v>103</v>
      </c>
      <c r="AA16" s="15"/>
    </row>
    <row r="18" spans="2:26" ht="73.5" x14ac:dyDescent="0.45">
      <c r="B18" s="38" t="s">
        <v>78</v>
      </c>
      <c r="D18" s="87" t="s">
        <v>58</v>
      </c>
      <c r="E18" s="87"/>
      <c r="F18" s="87"/>
      <c r="G18" s="87"/>
      <c r="H18" s="87"/>
      <c r="I18" s="87"/>
      <c r="J18" s="87"/>
      <c r="K18" s="87"/>
      <c r="L18" s="87"/>
      <c r="M18" s="87"/>
      <c r="N18" s="16"/>
      <c r="O18" s="15" t="s">
        <v>84</v>
      </c>
      <c r="P18" s="15"/>
      <c r="S18" t="s">
        <v>87</v>
      </c>
      <c r="U18" s="15" t="s">
        <v>57</v>
      </c>
      <c r="V18" s="15"/>
      <c r="Y18" s="15"/>
      <c r="Z18" s="15"/>
    </row>
  </sheetData>
  <mergeCells count="1">
    <mergeCell ref="D18:M18"/>
  </mergeCells>
  <conditionalFormatting sqref="E2:E9">
    <cfRule type="aboveAverage" dxfId="129" priority="21" aboveAverage="0"/>
    <cfRule type="aboveAverage" dxfId="128" priority="22"/>
  </conditionalFormatting>
  <conditionalFormatting sqref="G2:G9">
    <cfRule type="aboveAverage" dxfId="127" priority="19" aboveAverage="0"/>
    <cfRule type="aboveAverage" dxfId="126" priority="20"/>
  </conditionalFormatting>
  <conditionalFormatting sqref="I2:I9">
    <cfRule type="aboveAverage" dxfId="125" priority="17" aboveAverage="0"/>
    <cfRule type="aboveAverage" dxfId="124" priority="18"/>
  </conditionalFormatting>
  <conditionalFormatting sqref="K2:K9">
    <cfRule type="aboveAverage" dxfId="123" priority="15" aboveAverage="0"/>
    <cfRule type="aboveAverage" dxfId="122" priority="16"/>
  </conditionalFormatting>
  <conditionalFormatting sqref="M2:M9">
    <cfRule type="aboveAverage" dxfId="121" priority="13" aboveAverage="0"/>
    <cfRule type="aboveAverage" dxfId="120" priority="14"/>
  </conditionalFormatting>
  <conditionalFormatting sqref="O2:O9">
    <cfRule type="aboveAverage" dxfId="119" priority="11" aboveAverage="0"/>
    <cfRule type="aboveAverage" dxfId="118" priority="12"/>
  </conditionalFormatting>
  <conditionalFormatting sqref="Q2:Q9">
    <cfRule type="aboveAverage" dxfId="117" priority="9" aboveAverage="0"/>
    <cfRule type="aboveAverage" dxfId="116" priority="10"/>
  </conditionalFormatting>
  <conditionalFormatting sqref="S2:S9">
    <cfRule type="aboveAverage" dxfId="115" priority="7" aboveAverage="0"/>
    <cfRule type="aboveAverage" dxfId="114" priority="8"/>
  </conditionalFormatting>
  <conditionalFormatting sqref="U2:U9">
    <cfRule type="aboveAverage" dxfId="113" priority="5" aboveAverage="0"/>
    <cfRule type="aboveAverage" dxfId="112" priority="6"/>
  </conditionalFormatting>
  <conditionalFormatting sqref="W2:W9">
    <cfRule type="aboveAverage" dxfId="111" priority="3" aboveAverage="0"/>
    <cfRule type="aboveAverage" dxfId="110" priority="4"/>
  </conditionalFormatting>
  <conditionalFormatting sqref="Y2:Z9">
    <cfRule type="aboveAverage" dxfId="109" priority="1" aboveAverage="0"/>
    <cfRule type="aboveAverage" dxfId="108"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6381-6F77-4145-8042-C2585C560267}">
  <dimension ref="A1:R18"/>
  <sheetViews>
    <sheetView topLeftCell="A3" zoomScale="80" zoomScaleNormal="80" workbookViewId="0">
      <pane xSplit="2" topLeftCell="C1" activePane="topRight" state="frozen"/>
      <selection pane="topRight" activeCell="H9" sqref="H9"/>
    </sheetView>
  </sheetViews>
  <sheetFormatPr defaultRowHeight="14.5" x14ac:dyDescent="0.35"/>
  <cols>
    <col min="1" max="1" width="21.453125" bestFit="1" customWidth="1"/>
    <col min="2" max="2" width="14.54296875" customWidth="1"/>
    <col min="3" max="3" width="16.7265625" bestFit="1" customWidth="1"/>
    <col min="4" max="4" width="14.81640625" bestFit="1" customWidth="1"/>
    <col min="5" max="5" width="23" bestFit="1" customWidth="1"/>
    <col min="6" max="6" width="14.81640625" bestFit="1" customWidth="1"/>
    <col min="7" max="7" width="23.1796875" bestFit="1" customWidth="1"/>
    <col min="8" max="8" width="18.81640625" style="1" bestFit="1" customWidth="1"/>
    <col min="9" max="9" width="29.453125" style="1" bestFit="1" customWidth="1"/>
    <col min="10" max="10" width="18.54296875" style="1" bestFit="1" customWidth="1"/>
    <col min="11" max="11" width="23.54296875" style="1" bestFit="1" customWidth="1"/>
    <col min="12" max="12" width="20.453125" bestFit="1" customWidth="1"/>
    <col min="13" max="13" width="30.54296875" bestFit="1" customWidth="1"/>
    <col min="14" max="14" width="14.81640625" customWidth="1"/>
    <col min="15" max="15" width="22.81640625" bestFit="1" customWidth="1"/>
    <col min="16" max="16" width="18.1796875" bestFit="1" customWidth="1"/>
    <col min="17" max="17" width="27.1796875" bestFit="1" customWidth="1"/>
    <col min="18" max="18" width="27.1796875" customWidth="1"/>
  </cols>
  <sheetData>
    <row r="1" spans="1:18" ht="18.5" x14ac:dyDescent="0.45">
      <c r="A1" s="18" t="s">
        <v>33</v>
      </c>
      <c r="B1" s="19" t="s">
        <v>34</v>
      </c>
      <c r="C1" s="19" t="s">
        <v>230</v>
      </c>
      <c r="D1" s="19" t="s">
        <v>39</v>
      </c>
      <c r="E1" s="19" t="s">
        <v>130</v>
      </c>
      <c r="F1" s="19" t="s">
        <v>40</v>
      </c>
      <c r="G1" s="19" t="s">
        <v>132</v>
      </c>
      <c r="H1" s="31" t="s">
        <v>41</v>
      </c>
      <c r="I1" s="31" t="s">
        <v>134</v>
      </c>
      <c r="J1" s="31" t="s">
        <v>62</v>
      </c>
      <c r="K1" s="31" t="s">
        <v>136</v>
      </c>
      <c r="L1" s="19" t="s">
        <v>42</v>
      </c>
      <c r="M1" s="19" t="s">
        <v>137</v>
      </c>
      <c r="N1" s="19" t="s">
        <v>43</v>
      </c>
      <c r="O1" s="19" t="s">
        <v>140</v>
      </c>
      <c r="P1" s="19" t="s">
        <v>44</v>
      </c>
      <c r="Q1" s="19" t="s">
        <v>141</v>
      </c>
      <c r="R1" s="21" t="s">
        <v>183</v>
      </c>
    </row>
    <row r="2" spans="1:18" ht="16" x14ac:dyDescent="0.4">
      <c r="A2" s="22" t="s">
        <v>1</v>
      </c>
      <c r="B2" s="23" t="s">
        <v>6</v>
      </c>
      <c r="C2" s="23" t="s">
        <v>231</v>
      </c>
      <c r="D2" s="12">
        <v>100</v>
      </c>
      <c r="E2" s="25">
        <f>(Lovability_Table[[#This Row],[NIGHTLIFE]] - AVERAGE(Lovability_Table[NIGHTLIFE]))/_xlfn.STDEV.S(Lovability_Table[NIGHTLIFE])</f>
        <v>1.3326899661209233</v>
      </c>
      <c r="F2" s="12">
        <v>127</v>
      </c>
      <c r="G2" s="25">
        <f>(Lovability_Table[[#This Row],[SHOPPING]] - AVERAGE(Lovability_Table[SHOPPING]))/_xlfn.STDEV.S(Lovability_Table[SHOPPING])</f>
        <v>1.2833840616073993</v>
      </c>
      <c r="H2" s="32">
        <v>6983</v>
      </c>
      <c r="I2" s="42">
        <f>(Lovability_Table[[#This Row],[RESTAURANTS]] - AVERAGE(Lovability_Table[RESTAURANTS]))/_xlfn.STDEV.S(Lovability_Table[RESTAURANTS])</f>
        <v>1.5438759366776784</v>
      </c>
      <c r="J2" s="32">
        <v>20</v>
      </c>
      <c r="K2" s="42">
        <f>(Lovability_Table[[#This Row],[CULTURE]] - AVERAGE(Lovability_Table[CULTURE]))/_xlfn.STDEV.S(Lovability_Table[CULTURE])</f>
        <v>0.31462572214125317</v>
      </c>
      <c r="L2" s="12">
        <v>55</v>
      </c>
      <c r="M2" s="25">
        <f>(Lovability_Table[[#This Row],[GOOGLE TRENDS]] - AVERAGE(Lovability_Table[GOOGLE TRENDS]))/_xlfn.STDEV.S(Lovability_Table[GOOGLE TRENDS])</f>
        <v>1.2577492737067688</v>
      </c>
      <c r="N2" s="12">
        <v>64</v>
      </c>
      <c r="O2" s="25">
        <f>(Lovability_Table[[#This Row],[MUSEUMS]] - AVERAGE(Lovability_Table[MUSEUMS]))/_xlfn.STDEV.S(Lovability_Table[MUSEUMS])</f>
        <v>1.3395176134524314</v>
      </c>
      <c r="P2" s="12">
        <v>8</v>
      </c>
      <c r="Q2" s="25">
        <f>(Lovability_Table[[#This Row],[ATTRACTIONS]] - AVERAGE(Lovability_Table[ATTRACTIONS]))/_xlfn.STDEV.S(Lovability_Table[ATTRACTIONS])</f>
        <v>0.45862461606583926</v>
      </c>
      <c r="R2" s="44">
        <f>VLOOKUP(Lovability_Table[[#This Row],[CITY ID]], Lovability_Z_Score_Table[#All], 10, FALSE)</f>
        <v>1.0490387371340151</v>
      </c>
    </row>
    <row r="3" spans="1:18" ht="16" x14ac:dyDescent="0.4">
      <c r="A3" s="6" t="s">
        <v>0</v>
      </c>
      <c r="B3" s="7" t="s">
        <v>5</v>
      </c>
      <c r="C3" s="7" t="s">
        <v>232</v>
      </c>
      <c r="D3" s="12">
        <v>114</v>
      </c>
      <c r="E3" s="25">
        <f>(Lovability_Table[[#This Row],[NIGHTLIFE]] - AVERAGE(Lovability_Table[NIGHTLIFE]))/_xlfn.STDEV.S(Lovability_Table[NIGHTLIFE])</f>
        <v>1.6766099573779358</v>
      </c>
      <c r="F3" s="12">
        <v>151</v>
      </c>
      <c r="G3" s="25">
        <f>(Lovability_Table[[#This Row],[SHOPPING]] - AVERAGE(Lovability_Table[SHOPPING]))/_xlfn.STDEV.S(Lovability_Table[SHOPPING])</f>
        <v>1.7752198696485582</v>
      </c>
      <c r="H3" s="32">
        <v>5482</v>
      </c>
      <c r="I3" s="42">
        <f>(Lovability_Table[[#This Row],[RESTAURANTS]] - AVERAGE(Lovability_Table[RESTAURANTS]))/_xlfn.STDEV.S(Lovability_Table[RESTAURANTS])</f>
        <v>0.88590950256263146</v>
      </c>
      <c r="J3" s="32">
        <v>50</v>
      </c>
      <c r="K3" s="42">
        <f>(Lovability_Table[[#This Row],[CULTURE]] - AVERAGE(Lovability_Table[CULTURE]))/_xlfn.STDEV.S(Lovability_Table[CULTURE])</f>
        <v>2.3017355461912734</v>
      </c>
      <c r="L3" s="12">
        <v>64</v>
      </c>
      <c r="M3" s="25">
        <f>(Lovability_Table[[#This Row],[GOOGLE TRENDS]] - AVERAGE(Lovability_Table[GOOGLE TRENDS]))/_xlfn.STDEV.S(Lovability_Table[GOOGLE TRENDS])</f>
        <v>1.6656679570711264</v>
      </c>
      <c r="N3" s="12">
        <v>70</v>
      </c>
      <c r="O3" s="25">
        <f>(Lovability_Table[[#This Row],[MUSEUMS]] - AVERAGE(Lovability_Table[MUSEUMS]))/_xlfn.STDEV.S(Lovability_Table[MUSEUMS])</f>
        <v>1.6108123199744426</v>
      </c>
      <c r="P3" s="12">
        <v>3</v>
      </c>
      <c r="Q3" s="25">
        <f>(Lovability_Table[[#This Row],[ATTRACTIONS]] - AVERAGE(Lovability_Table[ATTRACTIONS]))/_xlfn.STDEV.S(Lovability_Table[ATTRACTIONS])</f>
        <v>-0.45862461606583926</v>
      </c>
      <c r="R3" s="44">
        <f>VLOOKUP(Lovability_Table[[#This Row],[CITY ID]], Lovability_Z_Score_Table[#All], 10, FALSE)</f>
        <v>1.3165840692588864</v>
      </c>
    </row>
    <row r="4" spans="1:18" ht="16" x14ac:dyDescent="0.4">
      <c r="A4" s="22" t="s">
        <v>2</v>
      </c>
      <c r="B4" s="23" t="s">
        <v>7</v>
      </c>
      <c r="C4" s="23" t="s">
        <v>233</v>
      </c>
      <c r="D4" s="12">
        <v>54</v>
      </c>
      <c r="E4" s="25">
        <f>(Lovability_Table[[#This Row],[NIGHTLIFE]] - AVERAGE(Lovability_Table[NIGHTLIFE]))/_xlfn.STDEV.S(Lovability_Table[NIGHTLIFE])</f>
        <v>0.2026671377050252</v>
      </c>
      <c r="F4" s="12">
        <v>63</v>
      </c>
      <c r="G4" s="25">
        <f>(Lovability_Table[[#This Row],[SHOPPING]] - AVERAGE(Lovability_Table[SHOPPING]))/_xlfn.STDEV.S(Lovability_Table[SHOPPING])</f>
        <v>-2.8178093169024733E-2</v>
      </c>
      <c r="H4" s="32">
        <v>5589</v>
      </c>
      <c r="I4" s="42">
        <f>(Lovability_Table[[#This Row],[RESTAURANTS]] - AVERAGE(Lovability_Table[RESTAURANTS]))/_xlfn.STDEV.S(Lovability_Table[RESTAURANTS])</f>
        <v>0.93281317241626904</v>
      </c>
      <c r="J4" s="32">
        <v>10</v>
      </c>
      <c r="K4" s="42">
        <f>(Lovability_Table[[#This Row],[CULTURE]] - AVERAGE(Lovability_Table[CULTURE]))/_xlfn.STDEV.S(Lovability_Table[CULTURE])</f>
        <v>-0.34774421920875354</v>
      </c>
      <c r="L4" s="12">
        <v>30</v>
      </c>
      <c r="M4" s="25">
        <f>(Lovability_Table[[#This Row],[GOOGLE TRENDS]] - AVERAGE(Lovability_Table[GOOGLE TRENDS]))/_xlfn.STDEV.S(Lovability_Table[GOOGLE TRENDS])</f>
        <v>0.124641819916887</v>
      </c>
      <c r="N4" s="12">
        <v>37</v>
      </c>
      <c r="O4" s="25">
        <f>(Lovability_Table[[#This Row],[MUSEUMS]] - AVERAGE(Lovability_Table[MUSEUMS]))/_xlfn.STDEV.S(Lovability_Table[MUSEUMS])</f>
        <v>0.11869143410337998</v>
      </c>
      <c r="P4" s="12">
        <v>5</v>
      </c>
      <c r="Q4" s="25">
        <f>(Lovability_Table[[#This Row],[ATTRACTIONS]] - AVERAGE(Lovability_Table[ATTRACTIONS]))/_xlfn.STDEV.S(Lovability_Table[ATTRACTIONS])</f>
        <v>-9.1724923213167858E-2</v>
      </c>
      <c r="R4" s="44">
        <f>VLOOKUP(Lovability_Table[[#This Row],[CITY ID]], Lovability_Z_Score_Table[#All], 10, FALSE)</f>
        <v>0.13118661732688239</v>
      </c>
    </row>
    <row r="5" spans="1:18" ht="16" x14ac:dyDescent="0.4">
      <c r="A5" s="6" t="s">
        <v>3</v>
      </c>
      <c r="B5" s="7" t="s">
        <v>8</v>
      </c>
      <c r="C5" s="7" t="s">
        <v>234</v>
      </c>
      <c r="D5" s="12">
        <v>19</v>
      </c>
      <c r="E5" s="25">
        <f>(Lovability_Table[[#This Row],[NIGHTLIFE]] - AVERAGE(Lovability_Table[NIGHTLIFE]))/_xlfn.STDEV.S(Lovability_Table[NIGHTLIFE])</f>
        <v>-0.65713284043750597</v>
      </c>
      <c r="F5" s="12">
        <v>32</v>
      </c>
      <c r="G5" s="25">
        <f>(Lovability_Table[[#This Row],[SHOPPING]] - AVERAGE(Lovability_Table[SHOPPING]))/_xlfn.STDEV.S(Lovability_Table[SHOPPING])</f>
        <v>-0.66346601188885512</v>
      </c>
      <c r="H5" s="32">
        <v>2938</v>
      </c>
      <c r="I5" s="42">
        <f>(Lovability_Table[[#This Row],[RESTAURANTS]] - AVERAGE(Lovability_Table[RESTAURANTS]))/_xlfn.STDEV.S(Lovability_Table[RESTAURANTS])</f>
        <v>-0.22925812461170522</v>
      </c>
      <c r="J5" s="32">
        <v>9</v>
      </c>
      <c r="K5" s="42">
        <f>(Lovability_Table[[#This Row],[CULTURE]] - AVERAGE(Lovability_Table[CULTURE]))/_xlfn.STDEV.S(Lovability_Table[CULTURE])</f>
        <v>-0.41398121334375421</v>
      </c>
      <c r="L5" s="12">
        <v>29</v>
      </c>
      <c r="M5" s="25">
        <f>(Lovability_Table[[#This Row],[GOOGLE TRENDS]] - AVERAGE(Lovability_Table[GOOGLE TRENDS]))/_xlfn.STDEV.S(Lovability_Table[GOOGLE TRENDS])</f>
        <v>7.9317521765291735E-2</v>
      </c>
      <c r="N5" s="12">
        <v>18</v>
      </c>
      <c r="O5" s="25">
        <f>(Lovability_Table[[#This Row],[MUSEUMS]] - AVERAGE(Lovability_Table[MUSEUMS]))/_xlfn.STDEV.S(Lovability_Table[MUSEUMS])</f>
        <v>-0.74040846988298947</v>
      </c>
      <c r="P5" s="12">
        <v>2</v>
      </c>
      <c r="Q5" s="25">
        <f>(Lovability_Table[[#This Row],[ATTRACTIONS]] - AVERAGE(Lovability_Table[ATTRACTIONS]))/_xlfn.STDEV.S(Lovability_Table[ATTRACTIONS])</f>
        <v>-0.64207446249217492</v>
      </c>
      <c r="R5" s="44">
        <f>VLOOKUP(Lovability_Table[[#This Row],[CITY ID]], Lovability_Z_Score_Table[#All], 10, FALSE)</f>
        <v>-0.48305511925560901</v>
      </c>
    </row>
    <row r="6" spans="1:18" ht="16" x14ac:dyDescent="0.4">
      <c r="A6" s="22" t="s">
        <v>4</v>
      </c>
      <c r="B6" s="23" t="s">
        <v>9</v>
      </c>
      <c r="C6" s="23" t="s">
        <v>235</v>
      </c>
      <c r="D6" s="12">
        <v>31</v>
      </c>
      <c r="E6" s="25">
        <f>(Lovability_Table[[#This Row],[NIGHTLIFE]] - AVERAGE(Lovability_Table[NIGHTLIFE]))/_xlfn.STDEV.S(Lovability_Table[NIGHTLIFE])</f>
        <v>-0.36234427650292383</v>
      </c>
      <c r="F6" s="12">
        <v>42</v>
      </c>
      <c r="G6" s="25">
        <f>(Lovability_Table[[#This Row],[SHOPPING]] - AVERAGE(Lovability_Table[SHOPPING]))/_xlfn.STDEV.S(Lovability_Table[SHOPPING])</f>
        <v>-0.45853442520503884</v>
      </c>
      <c r="H6" s="32">
        <v>1916</v>
      </c>
      <c r="I6" s="42">
        <f>(Lovability_Table[[#This Row],[RESTAURANTS]] - AVERAGE(Lovability_Table[RESTAURANTS]))/_xlfn.STDEV.S(Lovability_Table[RESTAURANTS])</f>
        <v>-0.67725392452215016</v>
      </c>
      <c r="J6" s="32">
        <v>15</v>
      </c>
      <c r="K6" s="42">
        <f>(Lovability_Table[[#This Row],[CULTURE]] - AVERAGE(Lovability_Table[CULTURE]))/_xlfn.STDEV.S(Lovability_Table[CULTURE])</f>
        <v>-1.6559248533750168E-2</v>
      </c>
      <c r="L6" s="12">
        <v>17</v>
      </c>
      <c r="M6" s="25">
        <f>(Lovability_Table[[#This Row],[GOOGLE TRENDS]] - AVERAGE(Lovability_Table[GOOGLE TRENDS]))/_xlfn.STDEV.S(Lovability_Table[GOOGLE TRENDS])</f>
        <v>-0.46457405605385155</v>
      </c>
      <c r="N6" s="12">
        <v>27</v>
      </c>
      <c r="O6" s="25">
        <f>(Lovability_Table[[#This Row],[MUSEUMS]] - AVERAGE(Lovability_Table[MUSEUMS]))/_xlfn.STDEV.S(Lovability_Table[MUSEUMS])</f>
        <v>-0.33346641009997235</v>
      </c>
      <c r="P6" s="12">
        <v>2</v>
      </c>
      <c r="Q6" s="25">
        <f>(Lovability_Table[[#This Row],[ATTRACTIONS]] - AVERAGE(Lovability_Table[ATTRACTIONS]))/_xlfn.STDEV.S(Lovability_Table[ATTRACTIONS])</f>
        <v>-0.64207446249217492</v>
      </c>
      <c r="R6" s="44">
        <f>VLOOKUP(Lovability_Table[[#This Row],[CITY ID]], Lovability_Z_Score_Table[#All], 10, FALSE)</f>
        <v>-0.42488666057634844</v>
      </c>
    </row>
    <row r="7" spans="1:18" ht="16" x14ac:dyDescent="0.4">
      <c r="A7" s="6" t="s">
        <v>10</v>
      </c>
      <c r="B7" s="7" t="s">
        <v>11</v>
      </c>
      <c r="C7" s="7" t="s">
        <v>236</v>
      </c>
      <c r="D7" s="12">
        <v>31</v>
      </c>
      <c r="E7" s="25">
        <f>(Lovability_Table[[#This Row],[NIGHTLIFE]] - AVERAGE(Lovability_Table[NIGHTLIFE]))/_xlfn.STDEV.S(Lovability_Table[NIGHTLIFE])</f>
        <v>-0.36234427650292383</v>
      </c>
      <c r="F7" s="12">
        <v>53</v>
      </c>
      <c r="G7" s="25">
        <f>(Lovability_Table[[#This Row],[SHOPPING]] - AVERAGE(Lovability_Table[SHOPPING]))/_xlfn.STDEV.S(Lovability_Table[SHOPPING])</f>
        <v>-0.23310967985284098</v>
      </c>
      <c r="H7" s="32">
        <v>2738</v>
      </c>
      <c r="I7" s="42">
        <f>(Lovability_Table[[#This Row],[RESTAURANTS]] - AVERAGE(Lovability_Table[RESTAURANTS]))/_xlfn.STDEV.S(Lovability_Table[RESTAURANTS])</f>
        <v>-0.31692853555308387</v>
      </c>
      <c r="J7" s="32">
        <v>11</v>
      </c>
      <c r="K7" s="42">
        <f>(Lovability_Table[[#This Row],[CULTURE]] - AVERAGE(Lovability_Table[CULTURE]))/_xlfn.STDEV.S(Lovability_Table[CULTURE])</f>
        <v>-0.28150722507375286</v>
      </c>
      <c r="L7" s="12">
        <v>10</v>
      </c>
      <c r="M7" s="25">
        <f>(Lovability_Table[[#This Row],[GOOGLE TRENDS]] - AVERAGE(Lovability_Table[GOOGLE TRENDS]))/_xlfn.STDEV.S(Lovability_Table[GOOGLE TRENDS])</f>
        <v>-0.78184414311501849</v>
      </c>
      <c r="N7" s="12">
        <v>17</v>
      </c>
      <c r="O7" s="25">
        <f>(Lovability_Table[[#This Row],[MUSEUMS]] - AVERAGE(Lovability_Table[MUSEUMS]))/_xlfn.STDEV.S(Lovability_Table[MUSEUMS])</f>
        <v>-0.78562425430332472</v>
      </c>
      <c r="P7" s="12">
        <v>18</v>
      </c>
      <c r="Q7" s="25">
        <f>(Lovability_Table[[#This Row],[ATTRACTIONS]] - AVERAGE(Lovability_Table[ATTRACTIONS]))/_xlfn.STDEV.S(Lovability_Table[ATTRACTIONS])</f>
        <v>2.2931230803291962</v>
      </c>
      <c r="R7" s="44">
        <f>VLOOKUP(Lovability_Table[[#This Row],[CITY ID]], Lovability_Z_Score_Table[#All], 10, FALSE)</f>
        <v>1.9130498393620798E-2</v>
      </c>
    </row>
    <row r="8" spans="1:18" ht="16" x14ac:dyDescent="0.4">
      <c r="A8" s="22" t="s">
        <v>14</v>
      </c>
      <c r="B8" s="23" t="s">
        <v>15</v>
      </c>
      <c r="C8" s="23" t="s">
        <v>237</v>
      </c>
      <c r="D8" s="12">
        <v>10</v>
      </c>
      <c r="E8" s="25">
        <f>(Lovability_Table[[#This Row],[NIGHTLIFE]] - AVERAGE(Lovability_Table[NIGHTLIFE]))/_xlfn.STDEV.S(Lovability_Table[NIGHTLIFE])</f>
        <v>-0.87822426338844251</v>
      </c>
      <c r="F8" s="12">
        <v>34</v>
      </c>
      <c r="G8" s="25">
        <f>(Lovability_Table[[#This Row],[SHOPPING]] - AVERAGE(Lovability_Table[SHOPPING]))/_xlfn.STDEV.S(Lovability_Table[SHOPPING])</f>
        <v>-0.62247969455209184</v>
      </c>
      <c r="H8" s="32">
        <v>1422</v>
      </c>
      <c r="I8" s="42">
        <f>(Lovability_Table[[#This Row],[RESTAURANTS]] - AVERAGE(Lovability_Table[RESTAURANTS]))/_xlfn.STDEV.S(Lovability_Table[RESTAURANTS])</f>
        <v>-0.89379983954735553</v>
      </c>
      <c r="J8" s="32">
        <v>5</v>
      </c>
      <c r="K8" s="42">
        <f>(Lovability_Table[[#This Row],[CULTURE]] - AVERAGE(Lovability_Table[CULTURE]))/_xlfn.STDEV.S(Lovability_Table[CULTURE])</f>
        <v>-0.67892918988375695</v>
      </c>
      <c r="L8" s="12">
        <v>9</v>
      </c>
      <c r="M8" s="25">
        <f>(Lovability_Table[[#This Row],[GOOGLE TRENDS]] - AVERAGE(Lovability_Table[GOOGLE TRENDS]))/_xlfn.STDEV.S(Lovability_Table[GOOGLE TRENDS])</f>
        <v>-0.82716844126661371</v>
      </c>
      <c r="N8" s="12">
        <v>33</v>
      </c>
      <c r="O8" s="25">
        <f>(Lovability_Table[[#This Row],[MUSEUMS]] - AVERAGE(Lovability_Table[MUSEUMS]))/_xlfn.STDEV.S(Lovability_Table[MUSEUMS])</f>
        <v>-6.2171703577960945E-2</v>
      </c>
      <c r="P8" s="12">
        <v>4</v>
      </c>
      <c r="Q8" s="25">
        <f>(Lovability_Table[[#This Row],[ATTRACTIONS]] - AVERAGE(Lovability_Table[ATTRACTIONS]))/_xlfn.STDEV.S(Lovability_Table[ATTRACTIONS])</f>
        <v>-0.27517476963950355</v>
      </c>
      <c r="R8" s="44">
        <f>VLOOKUP(Lovability_Table[[#This Row],[CITY ID]], Lovability_Z_Score_Table[#All], 10, FALSE)</f>
        <v>-0.62471125560624163</v>
      </c>
    </row>
    <row r="9" spans="1:18" ht="16" x14ac:dyDescent="0.4">
      <c r="A9" s="9" t="s">
        <v>12</v>
      </c>
      <c r="B9" s="10" t="s">
        <v>13</v>
      </c>
      <c r="C9" s="10" t="s">
        <v>238</v>
      </c>
      <c r="D9" s="29">
        <v>7</v>
      </c>
      <c r="E9" s="30">
        <f>(Lovability_Table[[#This Row],[NIGHTLIFE]] - AVERAGE(Lovability_Table[NIGHTLIFE]))/_xlfn.STDEV.S(Lovability_Table[NIGHTLIFE])</f>
        <v>-0.95192140437208805</v>
      </c>
      <c r="F9" s="29">
        <v>13</v>
      </c>
      <c r="G9" s="30">
        <f>(Lovability_Table[[#This Row],[SHOPPING]] - AVERAGE(Lovability_Table[SHOPPING]))/_xlfn.STDEV.S(Lovability_Table[SHOPPING])</f>
        <v>-1.052836026588106</v>
      </c>
      <c r="H9" s="33">
        <v>620</v>
      </c>
      <c r="I9" s="43">
        <f>(Lovability_Table[[#This Row],[RESTAURANTS]] - AVERAGE(Lovability_Table[RESTAURANTS]))/_xlfn.STDEV.S(Lovability_Table[RESTAURANTS])</f>
        <v>-1.2453581874222839</v>
      </c>
      <c r="J9" s="33">
        <v>2</v>
      </c>
      <c r="K9" s="43">
        <f>(Lovability_Table[[#This Row],[CULTURE]] - AVERAGE(Lovability_Table[CULTURE]))/_xlfn.STDEV.S(Lovability_Table[CULTURE])</f>
        <v>-0.8776401722887589</v>
      </c>
      <c r="L9" s="29">
        <v>4</v>
      </c>
      <c r="M9" s="30">
        <f>(Lovability_Table[[#This Row],[GOOGLE TRENDS]] - AVERAGE(Lovability_Table[GOOGLE TRENDS]))/_xlfn.STDEV.S(Lovability_Table[GOOGLE TRENDS])</f>
        <v>-1.05378993202459</v>
      </c>
      <c r="N9" s="29">
        <v>9</v>
      </c>
      <c r="O9" s="30">
        <f>(Lovability_Table[[#This Row],[MUSEUMS]] - AVERAGE(Lovability_Table[MUSEUMS]))/_xlfn.STDEV.S(Lovability_Table[MUSEUMS])</f>
        <v>-1.1473505296660065</v>
      </c>
      <c r="P9" s="29">
        <v>2</v>
      </c>
      <c r="Q9" s="30">
        <f>(Lovability_Table[[#This Row],[ATTRACTIONS]] - AVERAGE(Lovability_Table[ATTRACTIONS]))/_xlfn.STDEV.S(Lovability_Table[ATTRACTIONS])</f>
        <v>-0.64207446249217492</v>
      </c>
      <c r="R9" s="45">
        <f>VLOOKUP(Lovability_Table[[#This Row],[CITY ID]], Lovability_Z_Score_Table[#All], 10, FALSE)</f>
        <v>-0.98328688667520558</v>
      </c>
    </row>
    <row r="14" spans="1:18" ht="102.5" x14ac:dyDescent="0.45">
      <c r="A14" s="37" t="s">
        <v>76</v>
      </c>
      <c r="D14" s="15" t="s">
        <v>59</v>
      </c>
      <c r="E14" s="15" t="s">
        <v>131</v>
      </c>
      <c r="F14" s="15" t="s">
        <v>61</v>
      </c>
      <c r="G14" s="15" t="s">
        <v>133</v>
      </c>
      <c r="H14" s="17" t="s">
        <v>60</v>
      </c>
      <c r="I14" s="17" t="s">
        <v>135</v>
      </c>
      <c r="J14" s="17" t="s">
        <v>63</v>
      </c>
      <c r="K14" s="17" t="s">
        <v>138</v>
      </c>
      <c r="L14" s="15" t="s">
        <v>66</v>
      </c>
      <c r="M14" s="15" t="s">
        <v>139</v>
      </c>
      <c r="N14" s="15" t="s">
        <v>64</v>
      </c>
      <c r="O14" s="15" t="s">
        <v>142</v>
      </c>
      <c r="P14" s="15" t="s">
        <v>65</v>
      </c>
      <c r="Q14" s="15" t="s">
        <v>143</v>
      </c>
      <c r="R14" s="15"/>
    </row>
    <row r="16" spans="1:18" ht="18.5" x14ac:dyDescent="0.45">
      <c r="A16" s="38" t="s">
        <v>77</v>
      </c>
      <c r="D16" t="s">
        <v>79</v>
      </c>
      <c r="F16" t="s">
        <v>79</v>
      </c>
      <c r="H16" t="s">
        <v>79</v>
      </c>
      <c r="I16"/>
      <c r="J16" t="s">
        <v>79</v>
      </c>
      <c r="K16"/>
      <c r="L16" t="s">
        <v>92</v>
      </c>
      <c r="N16" t="s">
        <v>79</v>
      </c>
      <c r="P16" t="s">
        <v>79</v>
      </c>
    </row>
    <row r="18" spans="1:16" ht="18.5" x14ac:dyDescent="0.45">
      <c r="A18" s="38" t="s">
        <v>78</v>
      </c>
      <c r="D18" s="88" t="s">
        <v>67</v>
      </c>
      <c r="E18" s="88"/>
      <c r="F18" s="88"/>
      <c r="G18" s="88"/>
      <c r="H18" s="88"/>
      <c r="I18" s="88"/>
      <c r="J18" s="88"/>
      <c r="K18" s="88"/>
      <c r="L18" s="88"/>
      <c r="M18" s="88"/>
      <c r="N18" s="88"/>
      <c r="O18" s="88"/>
      <c r="P18" s="88"/>
    </row>
  </sheetData>
  <mergeCells count="1">
    <mergeCell ref="D18:P18"/>
  </mergeCells>
  <conditionalFormatting sqref="E2:E9">
    <cfRule type="aboveAverage" dxfId="107" priority="13" aboveAverage="0"/>
    <cfRule type="aboveAverage" dxfId="106" priority="14"/>
  </conditionalFormatting>
  <conditionalFormatting sqref="G2:G9">
    <cfRule type="aboveAverage" dxfId="105" priority="11" aboveAverage="0"/>
    <cfRule type="aboveAverage" dxfId="104" priority="12"/>
  </conditionalFormatting>
  <conditionalFormatting sqref="I2:I9">
    <cfRule type="aboveAverage" dxfId="103" priority="9" aboveAverage="0"/>
    <cfRule type="aboveAverage" dxfId="102" priority="10"/>
  </conditionalFormatting>
  <conditionalFormatting sqref="K2:K9">
    <cfRule type="aboveAverage" dxfId="101" priority="7" aboveAverage="0"/>
    <cfRule type="aboveAverage" dxfId="100" priority="8"/>
  </conditionalFormatting>
  <conditionalFormatting sqref="M2:M9">
    <cfRule type="aboveAverage" dxfId="99" priority="5" aboveAverage="0"/>
    <cfRule type="aboveAverage" dxfId="98" priority="6"/>
  </conditionalFormatting>
  <conditionalFormatting sqref="O2:O9">
    <cfRule type="aboveAverage" dxfId="97" priority="3" aboveAverage="0"/>
    <cfRule type="aboveAverage" dxfId="96" priority="4"/>
  </conditionalFormatting>
  <conditionalFormatting sqref="Q2:R9">
    <cfRule type="aboveAverage" dxfId="95" priority="1" aboveAverage="0"/>
    <cfRule type="aboveAverage" dxfId="94"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76B9A-0EA0-4FD7-89F1-247B72155FC0}">
  <dimension ref="A1:X18"/>
  <sheetViews>
    <sheetView tabSelected="1" zoomScale="80" zoomScaleNormal="80" workbookViewId="0">
      <pane xSplit="2" topLeftCell="C1" activePane="topRight" state="frozen"/>
      <selection pane="topRight" activeCell="E7" sqref="E7"/>
    </sheetView>
  </sheetViews>
  <sheetFormatPr defaultRowHeight="14.5" x14ac:dyDescent="0.35"/>
  <cols>
    <col min="1" max="1" width="21.453125" bestFit="1" customWidth="1"/>
    <col min="2" max="2" width="14.54296875" customWidth="1"/>
    <col min="3" max="3" width="25.453125" bestFit="1" customWidth="1"/>
    <col min="4" max="4" width="36.453125" bestFit="1" customWidth="1"/>
    <col min="5" max="5" width="46.7265625" bestFit="1" customWidth="1"/>
    <col min="6" max="6" width="27.453125" customWidth="1"/>
    <col min="7" max="7" width="37.81640625" bestFit="1" customWidth="1"/>
    <col min="8" max="8" width="23.1796875" bestFit="1" customWidth="1"/>
    <col min="9" max="9" width="33" bestFit="1" customWidth="1"/>
    <col min="10" max="10" width="27.81640625" customWidth="1"/>
    <col min="11" max="11" width="38.453125" bestFit="1" customWidth="1"/>
    <col min="12" max="12" width="26.7265625" customWidth="1"/>
    <col min="13" max="13" width="38.453125" bestFit="1" customWidth="1"/>
    <col min="14" max="14" width="24.54296875" bestFit="1" customWidth="1"/>
    <col min="15" max="15" width="36.26953125" bestFit="1" customWidth="1"/>
    <col min="16" max="16" width="32" bestFit="1" customWidth="1"/>
    <col min="17" max="17" width="42.54296875" bestFit="1" customWidth="1"/>
    <col min="18" max="18" width="27.1796875" bestFit="1" customWidth="1"/>
    <col min="19" max="19" width="36.81640625" bestFit="1" customWidth="1"/>
    <col min="20" max="20" width="27.1796875" bestFit="1" customWidth="1"/>
    <col min="21" max="21" width="36.54296875" bestFit="1" customWidth="1"/>
    <col min="22" max="22" width="25.453125" customWidth="1"/>
    <col min="23" max="23" width="36.1796875" bestFit="1" customWidth="1"/>
    <col min="24" max="24" width="30" customWidth="1"/>
  </cols>
  <sheetData>
    <row r="1" spans="1:24" ht="18.5" x14ac:dyDescent="0.45">
      <c r="A1" s="18" t="s">
        <v>33</v>
      </c>
      <c r="B1" s="19" t="s">
        <v>34</v>
      </c>
      <c r="C1" s="19" t="s">
        <v>247</v>
      </c>
      <c r="D1" s="19" t="s">
        <v>45</v>
      </c>
      <c r="E1" s="19" t="s">
        <v>111</v>
      </c>
      <c r="F1" s="19" t="s">
        <v>99</v>
      </c>
      <c r="G1" s="19" t="s">
        <v>114</v>
      </c>
      <c r="H1" s="19" t="s">
        <v>46</v>
      </c>
      <c r="I1" s="19" t="s">
        <v>112</v>
      </c>
      <c r="J1" s="19" t="s">
        <v>117</v>
      </c>
      <c r="K1" s="19" t="s">
        <v>116</v>
      </c>
      <c r="L1" s="19" t="s">
        <v>268</v>
      </c>
      <c r="M1" s="19" t="s">
        <v>118</v>
      </c>
      <c r="N1" s="19" t="s">
        <v>47</v>
      </c>
      <c r="O1" s="19" t="s">
        <v>258</v>
      </c>
      <c r="P1" s="19" t="s">
        <v>68</v>
      </c>
      <c r="Q1" s="19" t="s">
        <v>122</v>
      </c>
      <c r="R1" s="19" t="s">
        <v>48</v>
      </c>
      <c r="S1" s="19" t="s">
        <v>123</v>
      </c>
      <c r="T1" s="19" t="s">
        <v>49</v>
      </c>
      <c r="U1" s="19" t="s">
        <v>127</v>
      </c>
      <c r="V1" s="19" t="s">
        <v>105</v>
      </c>
      <c r="W1" s="19" t="s">
        <v>257</v>
      </c>
      <c r="X1" s="21" t="s">
        <v>207</v>
      </c>
    </row>
    <row r="2" spans="1:24" ht="16" x14ac:dyDescent="0.4">
      <c r="A2" s="22" t="s">
        <v>1</v>
      </c>
      <c r="B2" s="23" t="s">
        <v>6</v>
      </c>
      <c r="C2" s="23" t="s">
        <v>239</v>
      </c>
      <c r="D2" s="34">
        <v>0.69499999999999995</v>
      </c>
      <c r="E2" s="25">
        <f>(Prosperity_Table[[#This Row],[LABOUR FORCE PARTICIPATION]] - AVERAGE(Prosperity_Table[LABOUR FORCE PARTICIPATION]))/_xlfn.STDEV.S(Prosperity_Table[LABOUR FORCE PARTICIPATION])</f>
        <v>0.30017425885609711</v>
      </c>
      <c r="F2" s="39">
        <v>103</v>
      </c>
      <c r="G2" s="25">
        <f>(Prosperity_Table[[#This Row],[LABOUR PRODUCTIVITY]]-AVERAGE(Prosperity_Table[LABOUR PRODUCTIVITY]))/_xlfn.STDEV.S(Prosperity_Table[LABOUR PRODUCTIVITY])</f>
        <v>0.83419010418066009</v>
      </c>
      <c r="H2" s="12">
        <v>13</v>
      </c>
      <c r="I2" s="25">
        <f>(Prosperity_Table[[#This Row],[LARGE COMPANIES]] - AVERAGE(Prosperity_Table[LARGE COMPANIES]))/_xlfn.STDEV.S(Prosperity_Table[LARGE COMPANIES])</f>
        <v>1.0833486687664422</v>
      </c>
      <c r="J2" s="12">
        <v>71</v>
      </c>
      <c r="K2" s="25">
        <f>(Prosperity_Table[[#This Row],[AIRPORT CONNECTIVITY]] - AVERAGE(Prosperity_Table[AIRPORT CONNECTIVITY]))/_xlfn.STDEV.S(Prosperity_Table[AIRPORT CONNECTIVITY])</f>
        <v>0.74946950333317208</v>
      </c>
      <c r="L2" s="32">
        <v>750000</v>
      </c>
      <c r="M2" s="25">
        <f>(Prosperity_Table[[#This Row],[CONVENTION CENTRE]] - AVERAGE(Prosperity_Table[CONVENTION CENTRE]))/_xlfn.STDEV.S(Prosperity_Table[CONVENTION CENTRE])</f>
        <v>2.1547517808318246</v>
      </c>
      <c r="N2" s="12">
        <v>19</v>
      </c>
      <c r="O2" s="25">
        <f>-1 * (Prosperity_Table[[#This Row],[UNIVERSITY]] - AVERAGE(Prosperity_Table[UNIVERSITY])) / _xlfn.STDEV.S(Prosperity_Table[UNIVERSITY])</f>
        <v>0.79850619920862009</v>
      </c>
      <c r="P2" s="34">
        <v>0.629</v>
      </c>
      <c r="Q2" s="25">
        <f>(Prosperity_Table[[#This Row],[EDUCATIONAL ATTAINMENT]] - AVERAGE(Prosperity_Table[EDUCATIONAL ATTAINMENT]))/_xlfn.STDEV.S(Prosperity_Table[EDUCATIONAL ATTAINMENT])</f>
        <v>1.1573606015238691</v>
      </c>
      <c r="R2" s="12">
        <v>21.579000000000001</v>
      </c>
      <c r="S2" s="25">
        <f>(Prosperity_Table[[#This Row],[BUSINESS ECOSYSTEM]] - AVERAGE(Prosperity_Table[BUSINESS ECOSYSTEM]))/_xlfn.STDEV.S(Prosperity_Table[BUSINESS ECOSYSTEM])</f>
        <v>1.1039009636161761</v>
      </c>
      <c r="T2" s="34">
        <v>4.5999999999999999E-2</v>
      </c>
      <c r="U2" s="25">
        <f xml:space="preserve"> -1 * (Prosperity_Table[[#This Row],[UNEMPLOYMENT RATE]] - AVERAGE(Prosperity_Table[UNEMPLOYMENT RATE]))/_xlfn.STDEV.S(Prosperity_Table[UNEMPLOYMENT RATE])</f>
        <v>-1.1768913544050117</v>
      </c>
      <c r="V2" s="34">
        <v>2.8E-3</v>
      </c>
      <c r="W2" s="25">
        <f xml:space="preserve"> -1 * (Prosperity_Table[[#This Row],[HOMELESSNESS RATE]] - AVERAGE(Prosperity_Table[HOMELESSNESS RATE]))/_xlfn.STDEV.S(Prosperity_Table[HOMELESSNESS RATE])</f>
        <v>0.26274616993894012</v>
      </c>
      <c r="X2" s="44">
        <f>VLOOKUP(Prosperity_Table[[#This Row],[CITY ID]], Prosperity_Z_Score_Table[#All], 13, FALSE)</f>
        <v>0.76543154164443561</v>
      </c>
    </row>
    <row r="3" spans="1:24" ht="16" x14ac:dyDescent="0.4">
      <c r="A3" s="6" t="s">
        <v>0</v>
      </c>
      <c r="B3" s="7" t="s">
        <v>5</v>
      </c>
      <c r="C3" s="7" t="s">
        <v>240</v>
      </c>
      <c r="D3" s="34">
        <v>0.68600000000000005</v>
      </c>
      <c r="E3" s="25">
        <f>(Prosperity_Table[[#This Row],[LABOUR FORCE PARTICIPATION]] - AVERAGE(Prosperity_Table[LABOUR FORCE PARTICIPATION]))/_xlfn.STDEV.S(Prosperity_Table[LABOUR FORCE PARTICIPATION])</f>
        <v>-3.7521782357007975E-2</v>
      </c>
      <c r="F3" s="39">
        <v>98</v>
      </c>
      <c r="G3" s="25">
        <f>(Prosperity_Table[[#This Row],[LABOUR PRODUCTIVITY]]-AVERAGE(Prosperity_Table[LABOUR PRODUCTIVITY]))/_xlfn.STDEV.S(Prosperity_Table[LABOUR PRODUCTIVITY])</f>
        <v>0.49019418493090339</v>
      </c>
      <c r="H3" s="12">
        <v>18</v>
      </c>
      <c r="I3" s="25">
        <f>(Prosperity_Table[[#This Row],[LARGE COMPANIES]] - AVERAGE(Prosperity_Table[LARGE COMPANIES]))/_xlfn.STDEV.S(Prosperity_Table[LARGE COMPANIES])</f>
        <v>1.8304856817088162</v>
      </c>
      <c r="J3" s="12">
        <v>98</v>
      </c>
      <c r="K3" s="25">
        <f>(Prosperity_Table[[#This Row],[AIRPORT CONNECTIVITY]] - AVERAGE(Prosperity_Table[AIRPORT CONNECTIVITY]))/_xlfn.STDEV.S(Prosperity_Table[AIRPORT CONNECTIVITY])</f>
        <v>1.5548695666165808</v>
      </c>
      <c r="L3" s="32">
        <v>380000</v>
      </c>
      <c r="M3" s="42">
        <f>(Prosperity_Table[[#This Row],[CONVENTION CENTRE]] - AVERAGE(Prosperity_Table[CONVENTION CENTRE]))/_xlfn.STDEV.S(Prosperity_Table[CONVENTION CENTRE])</f>
        <v>0.60102089867294495</v>
      </c>
      <c r="N3" s="12">
        <v>20</v>
      </c>
      <c r="O3" s="25">
        <f>-1 * (Prosperity_Table[[#This Row],[UNIVERSITY]] - AVERAGE(Prosperity_Table[UNIVERSITY])) / _xlfn.STDEV.S(Prosperity_Table[UNIVERSITY])</f>
        <v>0.7936261002065812</v>
      </c>
      <c r="P3" s="34">
        <v>0.63</v>
      </c>
      <c r="Q3" s="25">
        <f>(Prosperity_Table[[#This Row],[EDUCATIONAL ATTAINMENT]] - AVERAGE(Prosperity_Table[EDUCATIONAL ATTAINMENT]))/_xlfn.STDEV.S(Prosperity_Table[EDUCATIONAL ATTAINMENT])</f>
        <v>1.1703100907716886</v>
      </c>
      <c r="R3" s="12">
        <v>31.724</v>
      </c>
      <c r="S3" s="25">
        <f>(Prosperity_Table[[#This Row],[BUSINESS ECOSYSTEM]] - AVERAGE(Prosperity_Table[BUSINESS ECOSYSTEM]))/_xlfn.STDEV.S(Prosperity_Table[BUSINESS ECOSYSTEM])</f>
        <v>1.9795898163015062</v>
      </c>
      <c r="T3" s="34">
        <v>4.2999999999999997E-2</v>
      </c>
      <c r="U3" s="25">
        <f xml:space="preserve"> -1 * (Prosperity_Table[[#This Row],[UNEMPLOYMENT RATE]] - AVERAGE(Prosperity_Table[UNEMPLOYMENT RATE]))/_xlfn.STDEV.S(Prosperity_Table[UNEMPLOYMENT RATE])</f>
        <v>-0.66333876339191566</v>
      </c>
      <c r="V3" s="34">
        <v>1.6999999999999999E-3</v>
      </c>
      <c r="W3" s="25">
        <f xml:space="preserve"> -1 * (Prosperity_Table[[#This Row],[HOMELESSNESS RATE]] - AVERAGE(Prosperity_Table[HOMELESSNESS RATE]))/_xlfn.STDEV.S(Prosperity_Table[HOMELESSNESS RATE])</f>
        <v>0.46036722083318565</v>
      </c>
      <c r="X3" s="44">
        <f>VLOOKUP(Prosperity_Table[[#This Row],[CITY ID]], Prosperity_Z_Score_Table[#All], 13, FALSE)</f>
        <v>0.99508828697226626</v>
      </c>
    </row>
    <row r="4" spans="1:24" ht="16" x14ac:dyDescent="0.4">
      <c r="A4" s="22" t="s">
        <v>2</v>
      </c>
      <c r="B4" s="23" t="s">
        <v>7</v>
      </c>
      <c r="C4" s="23" t="s">
        <v>241</v>
      </c>
      <c r="D4" s="34">
        <v>0.69799999999999995</v>
      </c>
      <c r="E4" s="25">
        <f>(Prosperity_Table[[#This Row],[LABOUR FORCE PARTICIPATION]] - AVERAGE(Prosperity_Table[LABOUR FORCE PARTICIPATION]))/_xlfn.STDEV.S(Prosperity_Table[LABOUR FORCE PARTICIPATION])</f>
        <v>0.41273960592713355</v>
      </c>
      <c r="F4" s="39">
        <v>77</v>
      </c>
      <c r="G4" s="25">
        <f>(Prosperity_Table[[#This Row],[LABOUR PRODUCTIVITY]]-AVERAGE(Prosperity_Table[LABOUR PRODUCTIVITY]))/_xlfn.STDEV.S(Prosperity_Table[LABOUR PRODUCTIVITY])</f>
        <v>-0.95458867591807495</v>
      </c>
      <c r="H4" s="12">
        <v>8</v>
      </c>
      <c r="I4" s="25">
        <f>(Prosperity_Table[[#This Row],[LARGE COMPANIES]] - AVERAGE(Prosperity_Table[LARGE COMPANIES]))/_xlfn.STDEV.S(Prosperity_Table[LARGE COMPANIES])</f>
        <v>0.33621165582406826</v>
      </c>
      <c r="J4" s="12">
        <v>78</v>
      </c>
      <c r="K4" s="25">
        <f>(Prosperity_Table[[#This Row],[AIRPORT CONNECTIVITY]] - AVERAGE(Prosperity_Table[AIRPORT CONNECTIVITY]))/_xlfn.STDEV.S(Prosperity_Table[AIRPORT CONNECTIVITY])</f>
        <v>0.95827692714738921</v>
      </c>
      <c r="L4" s="32">
        <v>220000</v>
      </c>
      <c r="M4" s="42">
        <f>(Prosperity_Table[[#This Row],[CONVENTION CENTRE]] - AVERAGE(Prosperity_Table[CONVENTION CENTRE]))/_xlfn.STDEV.S(Prosperity_Table[CONVENTION CENTRE])</f>
        <v>-7.0862726044408353E-2</v>
      </c>
      <c r="N4" s="12">
        <v>42</v>
      </c>
      <c r="O4" s="25">
        <f>-1 * (Prosperity_Table[[#This Row],[UNIVERSITY]] - AVERAGE(Prosperity_Table[UNIVERSITY])) / _xlfn.STDEV.S(Prosperity_Table[UNIVERSITY])</f>
        <v>0.68626392216172472</v>
      </c>
      <c r="P4" s="34">
        <v>0.497</v>
      </c>
      <c r="Q4" s="25">
        <f>(Prosperity_Table[[#This Row],[EDUCATIONAL ATTAINMENT]] - AVERAGE(Prosperity_Table[EDUCATIONAL ATTAINMENT]))/_xlfn.STDEV.S(Prosperity_Table[EDUCATIONAL ATTAINMENT])</f>
        <v>-0.5519719791883072</v>
      </c>
      <c r="R4" s="12">
        <v>8.0030000000000001</v>
      </c>
      <c r="S4" s="25">
        <f>(Prosperity_Table[[#This Row],[BUSINESS ECOSYSTEM]] - AVERAGE(Prosperity_Table[BUSINESS ECOSYSTEM]))/_xlfn.STDEV.S(Prosperity_Table[BUSINESS ECOSYSTEM])</f>
        <v>-6.7942492673232005E-2</v>
      </c>
      <c r="T4" s="34">
        <v>3.9E-2</v>
      </c>
      <c r="U4" s="25">
        <f xml:space="preserve"> -1 * (Prosperity_Table[[#This Row],[UNEMPLOYMENT RATE]] - AVERAGE(Prosperity_Table[UNEMPLOYMENT RATE]))/_xlfn.STDEV.S(Prosperity_Table[UNEMPLOYMENT RATE])</f>
        <v>2.1398024625544479E-2</v>
      </c>
      <c r="V4" s="34">
        <v>1E-3</v>
      </c>
      <c r="W4" s="25">
        <f xml:space="preserve"> -1 * (Prosperity_Table[[#This Row],[HOMELESSNESS RATE]] - AVERAGE(Prosperity_Table[HOMELESSNESS RATE]))/_xlfn.STDEV.S(Prosperity_Table[HOMELESSNESS RATE])</f>
        <v>0.58612607140225104</v>
      </c>
      <c r="X4" s="44">
        <f>VLOOKUP(Prosperity_Table[[#This Row],[CITY ID]], Prosperity_Z_Score_Table[#All], 13, FALSE)</f>
        <v>0.10916607652987798</v>
      </c>
    </row>
    <row r="5" spans="1:24" ht="16" x14ac:dyDescent="0.4">
      <c r="A5" s="6" t="s">
        <v>3</v>
      </c>
      <c r="B5" s="7" t="s">
        <v>8</v>
      </c>
      <c r="C5" s="7" t="s">
        <v>242</v>
      </c>
      <c r="D5" s="34">
        <v>0.68899999999999995</v>
      </c>
      <c r="E5" s="25">
        <f>(Prosperity_Table[[#This Row],[LABOUR FORCE PARTICIPATION]] - AVERAGE(Prosperity_Table[LABOUR FORCE PARTICIPATION]))/_xlfn.STDEV.S(Prosperity_Table[LABOUR FORCE PARTICIPATION])</f>
        <v>7.5043564714024277E-2</v>
      </c>
      <c r="F5" s="39">
        <v>108</v>
      </c>
      <c r="G5" s="25">
        <f>(Prosperity_Table[[#This Row],[LABOUR PRODUCTIVITY]]-AVERAGE(Prosperity_Table[LABOUR PRODUCTIVITY]))/_xlfn.STDEV.S(Prosperity_Table[LABOUR PRODUCTIVITY])</f>
        <v>1.1781860234304169</v>
      </c>
      <c r="H5" s="12">
        <v>4</v>
      </c>
      <c r="I5" s="25">
        <f>(Prosperity_Table[[#This Row],[LARGE COMPANIES]] - AVERAGE(Prosperity_Table[LARGE COMPANIES]))/_xlfn.STDEV.S(Prosperity_Table[LARGE COMPANIES])</f>
        <v>-0.26149795452983088</v>
      </c>
      <c r="J5" s="12">
        <v>48</v>
      </c>
      <c r="K5" s="25">
        <f>(Prosperity_Table[[#This Row],[AIRPORT CONNECTIVITY]] - AVERAGE(Prosperity_Table[AIRPORT CONNECTIVITY]))/_xlfn.STDEV.S(Prosperity_Table[AIRPORT CONNECTIVITY])</f>
        <v>6.3387967943601617E-2</v>
      </c>
      <c r="L5" s="32">
        <v>178000</v>
      </c>
      <c r="M5" s="42">
        <f>(Prosperity_Table[[#This Row],[CONVENTION CENTRE]] - AVERAGE(Prosperity_Table[CONVENTION CENTRE]))/_xlfn.STDEV.S(Prosperity_Table[CONVENTION CENTRE])</f>
        <v>-0.24723217753271359</v>
      </c>
      <c r="N5" s="12">
        <v>77</v>
      </c>
      <c r="O5" s="25">
        <f>-1 * (Prosperity_Table[[#This Row],[UNIVERSITY]] - AVERAGE(Prosperity_Table[UNIVERSITY])) / _xlfn.STDEV.S(Prosperity_Table[UNIVERSITY])</f>
        <v>0.51546045709036203</v>
      </c>
      <c r="P5" s="34">
        <v>0.59299999999999997</v>
      </c>
      <c r="Q5" s="25">
        <f>(Prosperity_Table[[#This Row],[EDUCATIONAL ATTAINMENT]] - AVERAGE(Prosperity_Table[EDUCATIONAL ATTAINMENT]))/_xlfn.STDEV.S(Prosperity_Table[EDUCATIONAL ATTAINMENT])</f>
        <v>0.69117898860236604</v>
      </c>
      <c r="R5" s="12">
        <v>3.27</v>
      </c>
      <c r="S5" s="25">
        <f>(Prosperity_Table[[#This Row],[BUSINESS ECOSYSTEM]] - AVERAGE(Prosperity_Table[BUSINESS ECOSYSTEM]))/_xlfn.STDEV.S(Prosperity_Table[BUSINESS ECOSYSTEM])</f>
        <v>-0.47648220088019788</v>
      </c>
      <c r="T5" s="34">
        <v>4.2999999999999997E-2</v>
      </c>
      <c r="U5" s="25">
        <f xml:space="preserve"> -1 * (Prosperity_Table[[#This Row],[UNEMPLOYMENT RATE]] - AVERAGE(Prosperity_Table[UNEMPLOYMENT RATE]))/_xlfn.STDEV.S(Prosperity_Table[UNEMPLOYMENT RATE])</f>
        <v>-0.66333876339191566</v>
      </c>
      <c r="V5" s="34">
        <v>1.7000000000000001E-2</v>
      </c>
      <c r="W5" s="25">
        <f xml:space="preserve"> -1 * (Prosperity_Table[[#This Row],[HOMELESSNESS RATE]] - AVERAGE(Prosperity_Table[HOMELESSNESS RATE]))/_xlfn.STDEV.S(Prosperity_Table[HOMELESSNESS RATE])</f>
        <v>-2.2883619416049577</v>
      </c>
      <c r="X5" s="44">
        <f>VLOOKUP(Prosperity_Table[[#This Row],[CITY ID]], Prosperity_Z_Score_Table[#All], 13, FALSE)</f>
        <v>-5.8460718455289606E-3</v>
      </c>
    </row>
    <row r="6" spans="1:24" ht="16" x14ac:dyDescent="0.4">
      <c r="A6" s="22" t="s">
        <v>4</v>
      </c>
      <c r="B6" s="23" t="s">
        <v>9</v>
      </c>
      <c r="C6" s="23" t="s">
        <v>243</v>
      </c>
      <c r="D6" s="34">
        <v>0.66200000000000003</v>
      </c>
      <c r="E6" s="25">
        <f>(Prosperity_Table[[#This Row],[LABOUR FORCE PARTICIPATION]] - AVERAGE(Prosperity_Table[LABOUR FORCE PARTICIPATION]))/_xlfn.STDEV.S(Prosperity_Table[LABOUR FORCE PARTICIPATION])</f>
        <v>-0.93804455892529937</v>
      </c>
      <c r="F6" s="39">
        <v>83</v>
      </c>
      <c r="G6" s="25">
        <f>(Prosperity_Table[[#This Row],[LABOUR PRODUCTIVITY]]-AVERAGE(Prosperity_Table[LABOUR PRODUCTIVITY]))/_xlfn.STDEV.S(Prosperity_Table[LABOUR PRODUCTIVITY])</f>
        <v>-0.54179357281836693</v>
      </c>
      <c r="H6" s="12">
        <v>2</v>
      </c>
      <c r="I6" s="25">
        <f>(Prosperity_Table[[#This Row],[LARGE COMPANIES]] - AVERAGE(Prosperity_Table[LARGE COMPANIES]))/_xlfn.STDEV.S(Prosperity_Table[LARGE COMPANIES])</f>
        <v>-0.56035275970678045</v>
      </c>
      <c r="J6" s="12">
        <v>34</v>
      </c>
      <c r="K6" s="25">
        <f>(Prosperity_Table[[#This Row],[AIRPORT CONNECTIVITY]] - AVERAGE(Prosperity_Table[AIRPORT CONNECTIVITY]))/_xlfn.STDEV.S(Prosperity_Table[AIRPORT CONNECTIVITY])</f>
        <v>-0.35422687968483257</v>
      </c>
      <c r="L6" s="32">
        <v>215000</v>
      </c>
      <c r="M6" s="42">
        <f>(Prosperity_Table[[#This Row],[CONVENTION CENTRE]] - AVERAGE(Prosperity_Table[CONVENTION CENTRE]))/_xlfn.STDEV.S(Prosperity_Table[CONVENTION CENTRE])</f>
        <v>-9.185908931682564E-2</v>
      </c>
      <c r="N6" s="12">
        <v>82</v>
      </c>
      <c r="O6" s="25">
        <f>-1 * (Prosperity_Table[[#This Row],[UNIVERSITY]] - AVERAGE(Prosperity_Table[UNIVERSITY])) / _xlfn.STDEV.S(Prosperity_Table[UNIVERSITY])</f>
        <v>0.49105996208016744</v>
      </c>
      <c r="P6" s="34">
        <v>0.56899999999999995</v>
      </c>
      <c r="Q6" s="25">
        <f>(Prosperity_Table[[#This Row],[EDUCATIONAL ATTAINMENT]] - AVERAGE(Prosperity_Table[EDUCATIONAL ATTAINMENT]))/_xlfn.STDEV.S(Prosperity_Table[EDUCATIONAL ATTAINMENT])</f>
        <v>0.38039124665469737</v>
      </c>
      <c r="R6" s="12">
        <v>2.613</v>
      </c>
      <c r="S6" s="25">
        <f>(Prosperity_Table[[#This Row],[BUSINESS ECOSYSTEM]] - AVERAGE(Prosperity_Table[BUSINESS ECOSYSTEM]))/_xlfn.STDEV.S(Prosperity_Table[BUSINESS ECOSYSTEM])</f>
        <v>-0.53319265688948936</v>
      </c>
      <c r="T6" s="34">
        <v>3.5000000000000003E-2</v>
      </c>
      <c r="U6" s="25">
        <f xml:space="preserve"> -1 * (Prosperity_Table[[#This Row],[UNEMPLOYMENT RATE]] - AVERAGE(Prosperity_Table[UNEMPLOYMENT RATE]))/_xlfn.STDEV.S(Prosperity_Table[UNEMPLOYMENT RATE])</f>
        <v>0.70613481264300459</v>
      </c>
      <c r="V6" s="34">
        <v>7.4000000000000003E-3</v>
      </c>
      <c r="W6" s="25">
        <f xml:space="preserve"> -1 * (Prosperity_Table[[#This Row],[HOMELESSNESS RATE]] - AVERAGE(Prosperity_Table[HOMELESSNESS RATE]))/_xlfn.STDEV.S(Prosperity_Table[HOMELESSNESS RATE])</f>
        <v>-0.56366913380063233</v>
      </c>
      <c r="X6" s="44">
        <f>VLOOKUP(Prosperity_Table[[#This Row],[CITY ID]], Prosperity_Z_Score_Table[#All], 13, FALSE)</f>
        <v>-0.21883259993949439</v>
      </c>
    </row>
    <row r="7" spans="1:24" ht="16" x14ac:dyDescent="0.4">
      <c r="A7" s="6" t="s">
        <v>10</v>
      </c>
      <c r="B7" s="7" t="s">
        <v>11</v>
      </c>
      <c r="C7" s="7" t="s">
        <v>244</v>
      </c>
      <c r="D7" s="34">
        <v>0.69099999999999995</v>
      </c>
      <c r="E7" s="25">
        <f>(Prosperity_Table[[#This Row],[LABOUR FORCE PARTICIPATION]] - AVERAGE(Prosperity_Table[LABOUR FORCE PARTICIPATION]))/_xlfn.STDEV.S(Prosperity_Table[LABOUR FORCE PARTICIPATION])</f>
        <v>0.15008712942804855</v>
      </c>
      <c r="F7" s="39">
        <v>76</v>
      </c>
      <c r="G7" s="25">
        <f>(Prosperity_Table[[#This Row],[LABOUR PRODUCTIVITY]]-AVERAGE(Prosperity_Table[LABOUR PRODUCTIVITY]))/_xlfn.STDEV.S(Prosperity_Table[LABOUR PRODUCTIVITY])</f>
        <v>-1.0233878597680264</v>
      </c>
      <c r="H7" s="12">
        <v>1</v>
      </c>
      <c r="I7" s="25">
        <f>(Prosperity_Table[[#This Row],[LARGE COMPANIES]] - AVERAGE(Prosperity_Table[LARGE COMPANIES]))/_xlfn.STDEV.S(Prosperity_Table[LARGE COMPANIES])</f>
        <v>-0.7097801622952552</v>
      </c>
      <c r="J7" s="12">
        <v>17</v>
      </c>
      <c r="K7" s="25">
        <f>(Prosperity_Table[[#This Row],[AIRPORT CONNECTIVITY]] - AVERAGE(Prosperity_Table[AIRPORT CONNECTIVITY]))/_xlfn.STDEV.S(Prosperity_Table[AIRPORT CONNECTIVITY])</f>
        <v>-0.86133062323364551</v>
      </c>
      <c r="L7" s="32">
        <v>108000</v>
      </c>
      <c r="M7" s="42">
        <f>(Prosperity_Table[[#This Row],[CONVENTION CENTRE]] - AVERAGE(Prosperity_Table[CONVENTION CENTRE]))/_xlfn.STDEV.S(Prosperity_Table[CONVENTION CENTRE])</f>
        <v>-0.5411812633465557</v>
      </c>
      <c r="N7" s="12">
        <v>500</v>
      </c>
      <c r="O7" s="25">
        <f>-1 * (Prosperity_Table[[#This Row],[UNIVERSITY]] - AVERAGE(Prosperity_Table[UNIVERSITY])) / _xlfn.STDEV.S(Prosperity_Table[UNIVERSITY])</f>
        <v>-1.5488214207721058</v>
      </c>
      <c r="P7" s="34">
        <v>0.42799999999999999</v>
      </c>
      <c r="Q7" s="25">
        <f>(Prosperity_Table[[#This Row],[EDUCATIONAL ATTAINMENT]] - AVERAGE(Prosperity_Table[EDUCATIONAL ATTAINMENT]))/_xlfn.STDEV.S(Prosperity_Table[EDUCATIONAL ATTAINMENT])</f>
        <v>-1.4454867372878539</v>
      </c>
      <c r="R7" s="12">
        <v>1.008</v>
      </c>
      <c r="S7" s="25">
        <f>(Prosperity_Table[[#This Row],[BUSINESS ECOSYSTEM]] - AVERAGE(Prosperity_Table[BUSINESS ECOSYSTEM]))/_xlfn.STDEV.S(Prosperity_Table[BUSINESS ECOSYSTEM])</f>
        <v>-0.67173189873867167</v>
      </c>
      <c r="T7" s="35">
        <v>0.03</v>
      </c>
      <c r="U7" s="25">
        <f xml:space="preserve"> -1 * (Prosperity_Table[[#This Row],[UNEMPLOYMENT RATE]] - AVERAGE(Prosperity_Table[UNEMPLOYMENT RATE]))/_xlfn.STDEV.S(Prosperity_Table[UNEMPLOYMENT RATE])</f>
        <v>1.5620557976648313</v>
      </c>
      <c r="V7" s="34">
        <v>6.9999999999999999E-4</v>
      </c>
      <c r="W7" s="25">
        <f xml:space="preserve"> -1 * (Prosperity_Table[[#This Row],[HOMELESSNESS RATE]] - AVERAGE(Prosperity_Table[HOMELESSNESS RATE]))/_xlfn.STDEV.S(Prosperity_Table[HOMELESSNESS RATE])</f>
        <v>0.64002272164613616</v>
      </c>
      <c r="X7" s="44">
        <f>VLOOKUP(Prosperity_Table[[#This Row],[CITY ID]], Prosperity_Z_Score_Table[#All], 13, FALSE)</f>
        <v>-0.60466015178964549</v>
      </c>
    </row>
    <row r="8" spans="1:24" ht="16" x14ac:dyDescent="0.4">
      <c r="A8" s="22" t="s">
        <v>14</v>
      </c>
      <c r="B8" s="23" t="s">
        <v>15</v>
      </c>
      <c r="C8" s="23" t="s">
        <v>245</v>
      </c>
      <c r="D8" s="34">
        <v>0.73299999999999998</v>
      </c>
      <c r="E8" s="25">
        <f>(Prosperity_Table[[#This Row],[LABOUR FORCE PARTICIPATION]] - AVERAGE(Prosperity_Table[LABOUR FORCE PARTICIPATION]))/_xlfn.STDEV.S(Prosperity_Table[LABOUR FORCE PARTICIPATION])</f>
        <v>1.7260019884225584</v>
      </c>
      <c r="F8" s="39">
        <v>107</v>
      </c>
      <c r="G8" s="25">
        <f>(Prosperity_Table[[#This Row],[LABOUR PRODUCTIVITY]]-AVERAGE(Prosperity_Table[LABOUR PRODUCTIVITY]))/_xlfn.STDEV.S(Prosperity_Table[LABOUR PRODUCTIVITY])</f>
        <v>1.1093868395804656</v>
      </c>
      <c r="H8" s="12">
        <v>0</v>
      </c>
      <c r="I8" s="25">
        <f>(Prosperity_Table[[#This Row],[LARGE COMPANIES]] - AVERAGE(Prosperity_Table[LARGE COMPANIES]))/_xlfn.STDEV.S(Prosperity_Table[LARGE COMPANIES])</f>
        <v>-0.85920756488373007</v>
      </c>
      <c r="J8" s="12">
        <v>12</v>
      </c>
      <c r="K8" s="25">
        <f>(Prosperity_Table[[#This Row],[AIRPORT CONNECTIVITY]] - AVERAGE(Prosperity_Table[AIRPORT CONNECTIVITY]))/_xlfn.STDEV.S(Prosperity_Table[AIRPORT CONNECTIVITY])</f>
        <v>-1.0104787831009434</v>
      </c>
      <c r="L8" s="32">
        <v>22000</v>
      </c>
      <c r="M8" s="42">
        <f>(Prosperity_Table[[#This Row],[CONVENTION CENTRE]] - AVERAGE(Prosperity_Table[CONVENTION CENTRE]))/_xlfn.STDEV.S(Prosperity_Table[CONVENTION CENTRE])</f>
        <v>-0.90231871163213306</v>
      </c>
      <c r="N8" s="12">
        <v>494</v>
      </c>
      <c r="O8" s="25">
        <f>-1 * (Prosperity_Table[[#This Row],[UNIVERSITY]] - AVERAGE(Prosperity_Table[UNIVERSITY])) / _xlfn.STDEV.S(Prosperity_Table[UNIVERSITY])</f>
        <v>-1.5195408267598722</v>
      </c>
      <c r="P8" s="34">
        <v>0.51500000000000001</v>
      </c>
      <c r="Q8" s="25">
        <f>(Prosperity_Table[[#This Row],[EDUCATIONAL ATTAINMENT]] - AVERAGE(Prosperity_Table[EDUCATIONAL ATTAINMENT]))/_xlfn.STDEV.S(Prosperity_Table[EDUCATIONAL ATTAINMENT])</f>
        <v>-0.31888117272755567</v>
      </c>
      <c r="R8" s="12">
        <v>1.669</v>
      </c>
      <c r="S8" s="25">
        <f>(Prosperity_Table[[#This Row],[BUSINESS ECOSYSTEM]] - AVERAGE(Prosperity_Table[BUSINESS ECOSYSTEM]))/_xlfn.STDEV.S(Prosperity_Table[BUSINESS ECOSYSTEM])</f>
        <v>-0.61467617359081528</v>
      </c>
      <c r="T8" s="34">
        <v>4.3999999999999997E-2</v>
      </c>
      <c r="U8" s="25">
        <f xml:space="preserve"> -1 * (Prosperity_Table[[#This Row],[UNEMPLOYMENT RATE]] - AVERAGE(Prosperity_Table[UNEMPLOYMENT RATE]))/_xlfn.STDEV.S(Prosperity_Table[UNEMPLOYMENT RATE])</f>
        <v>-0.83452296039628104</v>
      </c>
      <c r="V8" s="34">
        <v>2E-3</v>
      </c>
      <c r="W8" s="25">
        <f xml:space="preserve"> -1 * (Prosperity_Table[[#This Row],[HOMELESSNESS RATE]] - AVERAGE(Prosperity_Table[HOMELESSNESS RATE]))/_xlfn.STDEV.S(Prosperity_Table[HOMELESSNESS RATE])</f>
        <v>0.40647057058930047</v>
      </c>
      <c r="X8" s="44">
        <f>VLOOKUP(Prosperity_Table[[#This Row],[CITY ID]], Prosperity_Z_Score_Table[#All], 13, FALSE)</f>
        <v>-0.35671111962559998</v>
      </c>
    </row>
    <row r="9" spans="1:24" ht="16" x14ac:dyDescent="0.4">
      <c r="A9" s="9" t="s">
        <v>12</v>
      </c>
      <c r="B9" s="40" t="s">
        <v>13</v>
      </c>
      <c r="C9" s="10" t="s">
        <v>246</v>
      </c>
      <c r="D9" s="36">
        <v>0.64200000000000002</v>
      </c>
      <c r="E9" s="30">
        <f>(Prosperity_Table[[#This Row],[LABOUR FORCE PARTICIPATION]] - AVERAGE(Prosperity_Table[LABOUR FORCE PARTICIPATION]))/_xlfn.STDEV.S(Prosperity_Table[LABOUR FORCE PARTICIPATION])</f>
        <v>-1.6884802060655422</v>
      </c>
      <c r="F9" s="41">
        <v>75</v>
      </c>
      <c r="G9" s="30">
        <f>(Prosperity_Table[[#This Row],[LABOUR PRODUCTIVITY]]-AVERAGE(Prosperity_Table[LABOUR PRODUCTIVITY]))/_xlfn.STDEV.S(Prosperity_Table[LABOUR PRODUCTIVITY])</f>
        <v>-1.0921870436179777</v>
      </c>
      <c r="H9" s="29">
        <v>0</v>
      </c>
      <c r="I9" s="30">
        <f>(Prosperity_Table[[#This Row],[LARGE COMPANIES]] - AVERAGE(Prosperity_Table[LARGE COMPANIES]))/_xlfn.STDEV.S(Prosperity_Table[LARGE COMPANIES])</f>
        <v>-0.85920756488373007</v>
      </c>
      <c r="J9" s="29">
        <v>9</v>
      </c>
      <c r="K9" s="30">
        <f>(Prosperity_Table[[#This Row],[AIRPORT CONNECTIVITY]] - AVERAGE(Prosperity_Table[AIRPORT CONNECTIVITY]))/_xlfn.STDEV.S(Prosperity_Table[AIRPORT CONNECTIVITY])</f>
        <v>-1.0999676790213222</v>
      </c>
      <c r="L9" s="33">
        <v>22000</v>
      </c>
      <c r="M9" s="43">
        <f>(Prosperity_Table[[#This Row],[CONVENTION CENTRE]] - AVERAGE(Prosperity_Table[CONVENTION CENTRE]))/_xlfn.STDEV.S(Prosperity_Table[CONVENTION CENTRE])</f>
        <v>-0.90231871163213306</v>
      </c>
      <c r="N9" s="29">
        <v>227</v>
      </c>
      <c r="O9" s="30">
        <f>-1 * (Prosperity_Table[[#This Row],[UNIVERSITY]] - AVERAGE(Prosperity_Table[UNIVERSITY])) / _xlfn.STDEV.S(Prosperity_Table[UNIVERSITY])</f>
        <v>-0.21655439321547756</v>
      </c>
      <c r="P9" s="36">
        <v>0.45600000000000002</v>
      </c>
      <c r="Q9" s="30">
        <f>(Prosperity_Table[[#This Row],[EDUCATIONAL ATTAINMENT]] - AVERAGE(Prosperity_Table[EDUCATIONAL ATTAINMENT]))/_xlfn.STDEV.S(Prosperity_Table[EDUCATIONAL ATTAINMENT])</f>
        <v>-1.0829010383489071</v>
      </c>
      <c r="R9" s="29">
        <v>0.45500000000000002</v>
      </c>
      <c r="S9" s="30">
        <f>(Prosperity_Table[[#This Row],[BUSINESS ECOSYSTEM]] - AVERAGE(Prosperity_Table[BUSINESS ECOSYSTEM]))/_xlfn.STDEV.S(Prosperity_Table[BUSINESS ECOSYSTEM])</f>
        <v>-0.71946535714527471</v>
      </c>
      <c r="T9" s="36">
        <v>3.3000000000000002E-2</v>
      </c>
      <c r="U9" s="30">
        <f xml:space="preserve"> -1 * (Prosperity_Table[[#This Row],[UNEMPLOYMENT RATE]] - AVERAGE(Prosperity_Table[UNEMPLOYMENT RATE]))/_xlfn.STDEV.S(Prosperity_Table[UNEMPLOYMENT RATE])</f>
        <v>1.0485032066517352</v>
      </c>
      <c r="V9" s="36">
        <v>1.5E-3</v>
      </c>
      <c r="W9" s="30">
        <f xml:space="preserve"> -1 * (Prosperity_Table[[#This Row],[HOMELESSNESS RATE]] - AVERAGE(Prosperity_Table[HOMELESSNESS RATE]))/_xlfn.STDEV.S(Prosperity_Table[HOMELESSNESS RATE])</f>
        <v>0.49629832099577575</v>
      </c>
      <c r="X9" s="45">
        <f>VLOOKUP(Prosperity_Table[[#This Row],[CITY ID]], Prosperity_Z_Score_Table[#All], 13, FALSE)</f>
        <v>-0.6836359619463106</v>
      </c>
    </row>
    <row r="14" spans="1:24" ht="59" x14ac:dyDescent="0.45">
      <c r="A14" s="37" t="s">
        <v>76</v>
      </c>
      <c r="D14" s="15" t="s">
        <v>93</v>
      </c>
      <c r="E14" s="15" t="s">
        <v>113</v>
      </c>
      <c r="F14" s="15" t="s">
        <v>100</v>
      </c>
      <c r="G14" s="15" t="s">
        <v>115</v>
      </c>
      <c r="H14" s="15" t="s">
        <v>69</v>
      </c>
      <c r="I14" s="15" t="s">
        <v>119</v>
      </c>
      <c r="J14" s="15" t="s">
        <v>71</v>
      </c>
      <c r="K14" s="15" t="s">
        <v>199</v>
      </c>
      <c r="L14" s="15" t="s">
        <v>73</v>
      </c>
      <c r="M14" s="15" t="s">
        <v>120</v>
      </c>
      <c r="N14" s="15" t="s">
        <v>75</v>
      </c>
      <c r="O14" s="15" t="s">
        <v>124</v>
      </c>
      <c r="P14" s="15" t="s">
        <v>109</v>
      </c>
      <c r="Q14" s="15" t="s">
        <v>125</v>
      </c>
      <c r="R14" s="15" t="s">
        <v>106</v>
      </c>
      <c r="S14" s="15" t="s">
        <v>126</v>
      </c>
      <c r="T14" s="15" t="s">
        <v>98</v>
      </c>
      <c r="U14" s="15" t="s">
        <v>260</v>
      </c>
      <c r="V14" s="15" t="s">
        <v>269</v>
      </c>
      <c r="W14" s="15" t="s">
        <v>129</v>
      </c>
      <c r="X14" s="15"/>
    </row>
    <row r="16" spans="1:24" ht="44.5" x14ac:dyDescent="0.45">
      <c r="A16" s="38" t="s">
        <v>77</v>
      </c>
      <c r="D16" s="15" t="s">
        <v>94</v>
      </c>
      <c r="E16" s="15"/>
      <c r="F16" s="15" t="s">
        <v>101</v>
      </c>
      <c r="G16" s="15"/>
      <c r="H16" s="15" t="s">
        <v>70</v>
      </c>
      <c r="I16" s="15"/>
      <c r="J16" s="15" t="s">
        <v>72</v>
      </c>
      <c r="K16" s="15"/>
      <c r="L16" s="15" t="s">
        <v>74</v>
      </c>
      <c r="M16" s="15"/>
      <c r="N16" s="15" t="s">
        <v>97</v>
      </c>
      <c r="O16" s="15"/>
      <c r="P16" s="15" t="s">
        <v>101</v>
      </c>
      <c r="Q16" s="15"/>
      <c r="R16" s="15" t="s">
        <v>107</v>
      </c>
      <c r="S16" s="15"/>
      <c r="T16" s="15" t="s">
        <v>94</v>
      </c>
      <c r="U16" s="15"/>
      <c r="V16" s="15" t="s">
        <v>101</v>
      </c>
      <c r="W16" s="15"/>
      <c r="X16" s="15"/>
    </row>
    <row r="18" spans="1:24" ht="175" x14ac:dyDescent="0.45">
      <c r="A18" s="38" t="s">
        <v>78</v>
      </c>
      <c r="D18" s="15" t="s">
        <v>96</v>
      </c>
      <c r="F18" s="15"/>
      <c r="G18" s="15"/>
      <c r="N18" s="15" t="s">
        <v>208</v>
      </c>
      <c r="P18" s="15" t="s">
        <v>110</v>
      </c>
      <c r="Q18" s="15"/>
      <c r="R18" s="15" t="s">
        <v>108</v>
      </c>
      <c r="S18" s="15"/>
      <c r="T18" s="15" t="s">
        <v>95</v>
      </c>
      <c r="U18" s="15"/>
      <c r="W18" s="15"/>
      <c r="X18" s="15"/>
    </row>
  </sheetData>
  <conditionalFormatting sqref="E2:E9">
    <cfRule type="aboveAverage" dxfId="93" priority="21" aboveAverage="0"/>
    <cfRule type="aboveAverage" dxfId="92" priority="22"/>
    <cfRule type="cellIs" dxfId="91" priority="23" operator="greaterThan">
      <formula>0</formula>
    </cfRule>
    <cfRule type="cellIs" dxfId="90" priority="24" operator="greaterThan">
      <formula>1</formula>
    </cfRule>
  </conditionalFormatting>
  <conditionalFormatting sqref="G2:G9">
    <cfRule type="aboveAverage" dxfId="89" priority="17" aboveAverage="0"/>
    <cfRule type="aboveAverage" dxfId="88" priority="18"/>
  </conditionalFormatting>
  <conditionalFormatting sqref="I2:I9">
    <cfRule type="aboveAverage" dxfId="87" priority="19" aboveAverage="0"/>
    <cfRule type="aboveAverage" dxfId="86" priority="20"/>
  </conditionalFormatting>
  <conditionalFormatting sqref="K2:K9">
    <cfRule type="aboveAverage" dxfId="85" priority="15" aboveAverage="0"/>
    <cfRule type="aboveAverage" dxfId="84" priority="16"/>
  </conditionalFormatting>
  <conditionalFormatting sqref="M2">
    <cfRule type="aboveAverage" dxfId="83" priority="13" aboveAverage="0"/>
    <cfRule type="aboveAverage" dxfId="82" priority="14"/>
  </conditionalFormatting>
  <conditionalFormatting sqref="M2:M9">
    <cfRule type="aboveAverage" dxfId="81" priority="11" aboveAverage="0"/>
    <cfRule type="aboveAverage" dxfId="80" priority="12"/>
  </conditionalFormatting>
  <conditionalFormatting sqref="O2:O9">
    <cfRule type="aboveAverage" dxfId="79" priority="9" aboveAverage="0"/>
    <cfRule type="aboveAverage" dxfId="78" priority="10"/>
  </conditionalFormatting>
  <conditionalFormatting sqref="Q2:Q9">
    <cfRule type="aboveAverage" dxfId="77" priority="7" aboveAverage="0"/>
    <cfRule type="aboveAverage" dxfId="76" priority="8"/>
  </conditionalFormatting>
  <conditionalFormatting sqref="S2:S9">
    <cfRule type="aboveAverage" dxfId="75" priority="5" aboveAverage="0"/>
    <cfRule type="aboveAverage" dxfId="74" priority="6"/>
  </conditionalFormatting>
  <conditionalFormatting sqref="U2:U9">
    <cfRule type="aboveAverage" dxfId="73" priority="3" aboveAverage="0"/>
    <cfRule type="aboveAverage" dxfId="72" priority="4"/>
  </conditionalFormatting>
  <conditionalFormatting sqref="W2:X9">
    <cfRule type="aboveAverage" dxfId="71" priority="1" aboveAverage="0"/>
    <cfRule type="aboveAverage" dxfId="70"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5B95-4D87-496B-AC0F-71AFE29EC7BF}">
  <dimension ref="A1:H9"/>
  <sheetViews>
    <sheetView zoomScale="90" zoomScaleNormal="90" workbookViewId="0">
      <pane xSplit="2" topLeftCell="C1" activePane="topRight" state="frozen"/>
      <selection pane="topRight" activeCell="E7" sqref="E7"/>
    </sheetView>
  </sheetViews>
  <sheetFormatPr defaultRowHeight="14.5" x14ac:dyDescent="0.35"/>
  <cols>
    <col min="1" max="1" width="10.54296875" customWidth="1"/>
    <col min="2" max="3" width="14.54296875" customWidth="1"/>
    <col min="4" max="5" width="25.54296875" customWidth="1"/>
    <col min="6" max="6" width="26.453125" customWidth="1"/>
    <col min="7" max="7" width="28.453125" bestFit="1" customWidth="1"/>
    <col min="8" max="8" width="26.453125" customWidth="1"/>
  </cols>
  <sheetData>
    <row r="1" spans="1:8" ht="18.5" x14ac:dyDescent="0.45">
      <c r="A1" s="37" t="s">
        <v>33</v>
      </c>
      <c r="B1" s="37" t="s">
        <v>34</v>
      </c>
      <c r="C1" s="37" t="s">
        <v>248</v>
      </c>
      <c r="D1" s="37" t="s">
        <v>165</v>
      </c>
      <c r="E1" s="37" t="s">
        <v>183</v>
      </c>
      <c r="F1" s="37" t="s">
        <v>207</v>
      </c>
      <c r="G1" s="37" t="s">
        <v>219</v>
      </c>
      <c r="H1" s="19" t="s">
        <v>220</v>
      </c>
    </row>
    <row r="2" spans="1:8" ht="16" x14ac:dyDescent="0.4">
      <c r="A2" s="23" t="s">
        <v>1</v>
      </c>
      <c r="B2" s="23" t="s">
        <v>6</v>
      </c>
      <c r="C2" s="23" t="s">
        <v>249</v>
      </c>
      <c r="D2" s="84">
        <f>VLOOKUP(Livability_Z_Score_Table[[#This Row],[CITY ID]], Livability_Z_Score_Table[#All], 14, FALSE)</f>
        <v>0.41625235073170097</v>
      </c>
      <c r="E2" s="54">
        <f>VLOOKUP(Lovability_Z_Score_Table[[#This Row],[CITY ID]], Lovability_Z_Score_Table[#All], 10, FALSE)</f>
        <v>1.0490387371340151</v>
      </c>
      <c r="F2" s="54">
        <f>VLOOKUP(Prosperity_Z_Score_Table[[#This Row],[CITY ID]], Prosperity_Z_Score_Table[#All], 13, FALSE)</f>
        <v>0.76543154164443561</v>
      </c>
      <c r="G2" s="54">
        <f>(Overall_Z_Score_Table[[#This Row],[LIVABILITY Z-SCORE]] + Overall_Z_Score_Table[[#This Row],[LOVABILITY Z-SCORE]] + Overall_Z_Score_Table[[#This Row],[PROSPERITY Z-SCORE]])/3</f>
        <v>0.74357420983671718</v>
      </c>
      <c r="H2" s="85">
        <f>100 * (Overall_Z_Score_Table[[#This Row],[OVERALL CITY Z-SCORE]] - MIN(Overall_Z_Score_Table[OVERALL CITY Z-SCORE]))/(MAX(Overall_Z_Score_Table[OVERALL CITY Z-SCORE]) - MIN(Overall_Z_Score_Table[OVERALL CITY Z-SCORE]))</f>
        <v>95.604618963075552</v>
      </c>
    </row>
    <row r="3" spans="1:8" ht="16" x14ac:dyDescent="0.4">
      <c r="A3" s="7" t="s">
        <v>0</v>
      </c>
      <c r="B3" s="7" t="s">
        <v>5</v>
      </c>
      <c r="C3" s="7" t="s">
        <v>250</v>
      </c>
      <c r="D3" s="84">
        <f>VLOOKUP(Livability_Z_Score_Table[[#This Row],[CITY ID]], Livability_Z_Score_Table[#All], 14, FALSE)</f>
        <v>0.11636113717765938</v>
      </c>
      <c r="E3" s="54">
        <f>VLOOKUP(Lovability_Z_Score_Table[[#This Row],[CITY ID]], Lovability_Z_Score_Table[#All], 10, FALSE)</f>
        <v>1.3165840692588864</v>
      </c>
      <c r="F3" s="54">
        <f>VLOOKUP(Prosperity_Z_Score_Table[[#This Row],[CITY ID]], Prosperity_Z_Score_Table[#All], 13, FALSE)</f>
        <v>0.99508828697226626</v>
      </c>
      <c r="G3" s="54">
        <f>(Overall_Z_Score_Table[[#This Row],[LIVABILITY Z-SCORE]] + Overall_Z_Score_Table[[#This Row],[LOVABILITY Z-SCORE]] + Overall_Z_Score_Table[[#This Row],[PROSPERITY Z-SCORE]])/3</f>
        <v>0.80934449780293738</v>
      </c>
      <c r="H3" s="85">
        <f>100 * (Overall_Z_Score_Table[[#This Row],[OVERALL CITY Z-SCORE]] - MIN(Overall_Z_Score_Table[OVERALL CITY Z-SCORE]))/(MAX(Overall_Z_Score_Table[OVERALL CITY Z-SCORE]) - MIN(Overall_Z_Score_Table[OVERALL CITY Z-SCORE]))</f>
        <v>100.00000000000001</v>
      </c>
    </row>
    <row r="4" spans="1:8" ht="16" x14ac:dyDescent="0.4">
      <c r="A4" s="23" t="s">
        <v>2</v>
      </c>
      <c r="B4" s="23" t="s">
        <v>7</v>
      </c>
      <c r="C4" s="23" t="s">
        <v>251</v>
      </c>
      <c r="D4" s="84">
        <f>VLOOKUP(Livability_Z_Score_Table[[#This Row],[CITY ID]], Livability_Z_Score_Table[#All], 14, FALSE)</f>
        <v>0.12620242089801126</v>
      </c>
      <c r="E4" s="54">
        <f>VLOOKUP(Lovability_Z_Score_Table[[#This Row],[CITY ID]], Lovability_Z_Score_Table[#All], 10, FALSE)</f>
        <v>0.13118661732688239</v>
      </c>
      <c r="F4" s="54">
        <f>VLOOKUP(Prosperity_Z_Score_Table[[#This Row],[CITY ID]], Prosperity_Z_Score_Table[#All], 13, FALSE)</f>
        <v>0.10916607652987798</v>
      </c>
      <c r="G4" s="54">
        <f>(Overall_Z_Score_Table[[#This Row],[LIVABILITY Z-SCORE]] + Overall_Z_Score_Table[[#This Row],[LOVABILITY Z-SCORE]] + Overall_Z_Score_Table[[#This Row],[PROSPERITY Z-SCORE]])/3</f>
        <v>0.12218503825159055</v>
      </c>
      <c r="H4" s="85">
        <f>100 * (Overall_Z_Score_Table[[#This Row],[OVERALL CITY Z-SCORE]] - MIN(Overall_Z_Score_Table[OVERALL CITY Z-SCORE]))/(MAX(Overall_Z_Score_Table[OVERALL CITY Z-SCORE]) - MIN(Overall_Z_Score_Table[OVERALL CITY Z-SCORE]))</f>
        <v>54.077627584563714</v>
      </c>
    </row>
    <row r="5" spans="1:8" ht="16" x14ac:dyDescent="0.4">
      <c r="A5" s="7" t="s">
        <v>3</v>
      </c>
      <c r="B5" s="7" t="s">
        <v>8</v>
      </c>
      <c r="C5" s="7" t="s">
        <v>252</v>
      </c>
      <c r="D5" s="84">
        <f>VLOOKUP(Livability_Z_Score_Table[[#This Row],[CITY ID]], Livability_Z_Score_Table[#All], 14, FALSE)</f>
        <v>-8.4280005798179472E-2</v>
      </c>
      <c r="E5" s="54">
        <f>VLOOKUP(Lovability_Z_Score_Table[[#This Row],[CITY ID]], Lovability_Z_Score_Table[#All], 10, FALSE)</f>
        <v>-0.48305511925560901</v>
      </c>
      <c r="F5" s="54">
        <f>VLOOKUP(Prosperity_Z_Score_Table[[#This Row],[CITY ID]], Prosperity_Z_Score_Table[#All], 13, FALSE)</f>
        <v>-5.8460718455289606E-3</v>
      </c>
      <c r="G5" s="54">
        <f>(Overall_Z_Score_Table[[#This Row],[LIVABILITY Z-SCORE]] + Overall_Z_Score_Table[[#This Row],[LOVABILITY Z-SCORE]] + Overall_Z_Score_Table[[#This Row],[PROSPERITY Z-SCORE]])/3</f>
        <v>-0.19106039896643914</v>
      </c>
      <c r="H5" s="85">
        <f>100 * (Overall_Z_Score_Table[[#This Row],[OVERALL CITY Z-SCORE]] - MIN(Overall_Z_Score_Table[OVERALL CITY Z-SCORE]))/(MAX(Overall_Z_Score_Table[OVERALL CITY Z-SCORE]) - MIN(Overall_Z_Score_Table[OVERALL CITY Z-SCORE]))</f>
        <v>33.143660329343781</v>
      </c>
    </row>
    <row r="6" spans="1:8" ht="16" x14ac:dyDescent="0.4">
      <c r="A6" s="23" t="s">
        <v>4</v>
      </c>
      <c r="B6" s="23" t="s">
        <v>9</v>
      </c>
      <c r="C6" s="23" t="s">
        <v>253</v>
      </c>
      <c r="D6" s="84">
        <f>VLOOKUP(Livability_Z_Score_Table[[#This Row],[CITY ID]], Livability_Z_Score_Table[#All], 14, FALSE)</f>
        <v>-6.2745187503844058E-2</v>
      </c>
      <c r="E6" s="54">
        <f>VLOOKUP(Lovability_Z_Score_Table[[#This Row],[CITY ID]], Lovability_Z_Score_Table[#All], 10, FALSE)</f>
        <v>-0.42488666057634844</v>
      </c>
      <c r="F6" s="54">
        <f>VLOOKUP(Prosperity_Z_Score_Table[[#This Row],[CITY ID]], Prosperity_Z_Score_Table[#All], 13, FALSE)</f>
        <v>-0.21883259993949439</v>
      </c>
      <c r="G6" s="54">
        <f>(Overall_Z_Score_Table[[#This Row],[LIVABILITY Z-SCORE]] + Overall_Z_Score_Table[[#This Row],[LOVABILITY Z-SCORE]] + Overall_Z_Score_Table[[#This Row],[PROSPERITY Z-SCORE]])/3</f>
        <v>-0.23548814933989562</v>
      </c>
      <c r="H6" s="85">
        <f>100 * (Overall_Z_Score_Table[[#This Row],[OVERALL CITY Z-SCORE]] - MIN(Overall_Z_Score_Table[OVERALL CITY Z-SCORE]))/(MAX(Overall_Z_Score_Table[OVERALL CITY Z-SCORE]) - MIN(Overall_Z_Score_Table[OVERALL CITY Z-SCORE]))</f>
        <v>30.174585728286853</v>
      </c>
    </row>
    <row r="7" spans="1:8" ht="16" x14ac:dyDescent="0.4">
      <c r="A7" s="7" t="s">
        <v>10</v>
      </c>
      <c r="B7" s="7" t="s">
        <v>11</v>
      </c>
      <c r="C7" s="7" t="s">
        <v>254</v>
      </c>
      <c r="D7" s="84">
        <f>VLOOKUP(Livability_Z_Score_Table[[#This Row],[CITY ID]], Livability_Z_Score_Table[#All], 14, FALSE)</f>
        <v>-0.45758444867621406</v>
      </c>
      <c r="E7" s="54">
        <f>VLOOKUP(Lovability_Z_Score_Table[[#This Row],[CITY ID]], Lovability_Z_Score_Table[#All], 10, FALSE)</f>
        <v>1.9130498393620798E-2</v>
      </c>
      <c r="F7" s="54">
        <f>VLOOKUP(Prosperity_Z_Score_Table[[#This Row],[CITY ID]], Prosperity_Z_Score_Table[#All], 13, FALSE)</f>
        <v>-0.60466015178964549</v>
      </c>
      <c r="G7" s="54">
        <f>(Overall_Z_Score_Table[[#This Row],[LIVABILITY Z-SCORE]] + Overall_Z_Score_Table[[#This Row],[LOVABILITY Z-SCORE]] + Overall_Z_Score_Table[[#This Row],[PROSPERITY Z-SCORE]])/3</f>
        <v>-0.34770470069074627</v>
      </c>
      <c r="H7" s="85">
        <f>100 * (Overall_Z_Score_Table[[#This Row],[OVERALL CITY Z-SCORE]] - MIN(Overall_Z_Score_Table[OVERALL CITY Z-SCORE]))/(MAX(Overall_Z_Score_Table[OVERALL CITY Z-SCORE]) - MIN(Overall_Z_Score_Table[OVERALL CITY Z-SCORE]))</f>
        <v>22.675234317663321</v>
      </c>
    </row>
    <row r="8" spans="1:8" ht="16" x14ac:dyDescent="0.4">
      <c r="A8" s="23" t="s">
        <v>14</v>
      </c>
      <c r="B8" s="23" t="s">
        <v>15</v>
      </c>
      <c r="C8" s="23" t="s">
        <v>255</v>
      </c>
      <c r="D8" s="84">
        <f>VLOOKUP(Livability_Z_Score_Table[[#This Row],[CITY ID]], Livability_Z_Score_Table[#All], 14, FALSE)</f>
        <v>0.33988765188250908</v>
      </c>
      <c r="E8" s="54">
        <f>VLOOKUP(Lovability_Z_Score_Table[[#This Row],[CITY ID]], Lovability_Z_Score_Table[#All], 10, FALSE)</f>
        <v>-0.62471125560624163</v>
      </c>
      <c r="F8" s="54">
        <f>VLOOKUP(Prosperity_Z_Score_Table[[#This Row],[CITY ID]], Prosperity_Z_Score_Table[#All], 13, FALSE)</f>
        <v>-0.35671111962559998</v>
      </c>
      <c r="G8" s="54">
        <f>(Overall_Z_Score_Table[[#This Row],[LIVABILITY Z-SCORE]] + Overall_Z_Score_Table[[#This Row],[LOVABILITY Z-SCORE]] + Overall_Z_Score_Table[[#This Row],[PROSPERITY Z-SCORE]])/3</f>
        <v>-0.21384490778311083</v>
      </c>
      <c r="H8" s="85">
        <f>100 * (Overall_Z_Score_Table[[#This Row],[OVERALL CITY Z-SCORE]] - MIN(Overall_Z_Score_Table[OVERALL CITY Z-SCORE]))/(MAX(Overall_Z_Score_Table[OVERALL CITY Z-SCORE]) - MIN(Overall_Z_Score_Table[OVERALL CITY Z-SCORE]))</f>
        <v>31.620987993776801</v>
      </c>
    </row>
    <row r="9" spans="1:8" ht="16" x14ac:dyDescent="0.4">
      <c r="A9" s="7" t="s">
        <v>12</v>
      </c>
      <c r="B9" s="75" t="s">
        <v>13</v>
      </c>
      <c r="C9" s="7" t="s">
        <v>256</v>
      </c>
      <c r="D9" s="84">
        <f>VLOOKUP(Livability_Z_Score_Table[[#This Row],[CITY ID]], Livability_Z_Score_Table[#All], 14, FALSE)</f>
        <v>-0.3940939187116404</v>
      </c>
      <c r="E9" s="54">
        <f>VLOOKUP(Lovability_Z_Score_Table[[#This Row],[CITY ID]], Lovability_Z_Score_Table[#All], 10, FALSE)</f>
        <v>-0.98328688667520558</v>
      </c>
      <c r="F9" s="54">
        <f>VLOOKUP(Prosperity_Z_Score_Table[[#This Row],[CITY ID]], Prosperity_Z_Score_Table[#All], 13, FALSE)</f>
        <v>-0.6836359619463106</v>
      </c>
      <c r="G9" s="54">
        <f>(Overall_Z_Score_Table[[#This Row],[LIVABILITY Z-SCORE]] + Overall_Z_Score_Table[[#This Row],[LOVABILITY Z-SCORE]] + Overall_Z_Score_Table[[#This Row],[PROSPERITY Z-SCORE]])/3</f>
        <v>-0.68700558911105214</v>
      </c>
      <c r="H9" s="85">
        <f>100 * (Overall_Z_Score_Table[[#This Row],[OVERALL CITY Z-SCORE]] - MIN(Overall_Z_Score_Table[OVERALL CITY Z-SCORE]))/(MAX(Overall_Z_Score_Table[OVERALL CITY Z-SCORE]) - MIN(Overall_Z_Score_Table[OVERALL CITY Z-SCORE]))</f>
        <v>0</v>
      </c>
    </row>
  </sheetData>
  <conditionalFormatting sqref="D2:D9">
    <cfRule type="aboveAverage" dxfId="69" priority="6" aboveAverage="0"/>
    <cfRule type="aboveAverage" dxfId="68" priority="7"/>
  </conditionalFormatting>
  <conditionalFormatting sqref="E2:E9">
    <cfRule type="aboveAverage" dxfId="67" priority="4" aboveAverage="0"/>
    <cfRule type="aboveAverage" dxfId="66" priority="5"/>
  </conditionalFormatting>
  <conditionalFormatting sqref="F2:G9">
    <cfRule type="aboveAverage" dxfId="65" priority="30" aboveAverage="0"/>
    <cfRule type="aboveAverage" dxfId="64" priority="31"/>
  </conditionalFormatting>
  <conditionalFormatting sqref="H2:H9">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ED35-2A92-4FCD-94C5-D8E9827EC319}">
  <dimension ref="A1:N15"/>
  <sheetViews>
    <sheetView zoomScale="80" zoomScaleNormal="80" workbookViewId="0">
      <pane xSplit="2" topLeftCell="C1" activePane="topRight" state="frozen"/>
      <selection pane="topRight" activeCell="G6" sqref="G6"/>
    </sheetView>
  </sheetViews>
  <sheetFormatPr defaultRowHeight="14.5" x14ac:dyDescent="0.35"/>
  <cols>
    <col min="1" max="1" width="21.453125" bestFit="1" customWidth="1"/>
    <col min="2" max="2" width="14.54296875" customWidth="1"/>
    <col min="3" max="3" width="37.1796875" customWidth="1"/>
    <col min="4" max="4" width="31.54296875" customWidth="1"/>
    <col min="5" max="5" width="27.453125" customWidth="1"/>
    <col min="6" max="6" width="26.1796875" customWidth="1"/>
    <col min="7" max="7" width="26.453125" customWidth="1"/>
    <col min="8" max="8" width="28.54296875" customWidth="1"/>
    <col min="9" max="9" width="39.81640625" customWidth="1"/>
    <col min="10" max="10" width="57.1796875" bestFit="1" customWidth="1"/>
    <col min="11" max="11" width="38.54296875" customWidth="1"/>
    <col min="12" max="12" width="32.453125" customWidth="1"/>
    <col min="13" max="13" width="44.1796875" customWidth="1"/>
    <col min="14" max="14" width="28.1796875" customWidth="1"/>
  </cols>
  <sheetData>
    <row r="1" spans="1:14" ht="18.5" x14ac:dyDescent="0.45">
      <c r="A1" s="18" t="s">
        <v>33</v>
      </c>
      <c r="B1" s="19" t="s">
        <v>34</v>
      </c>
      <c r="C1" s="20" t="s">
        <v>144</v>
      </c>
      <c r="D1" s="67" t="s">
        <v>145</v>
      </c>
      <c r="E1" s="67" t="s">
        <v>146</v>
      </c>
      <c r="F1" s="67" t="s">
        <v>148</v>
      </c>
      <c r="G1" s="67" t="s">
        <v>150</v>
      </c>
      <c r="H1" s="67" t="s">
        <v>152</v>
      </c>
      <c r="I1" s="68" t="s">
        <v>154</v>
      </c>
      <c r="J1" s="68" t="s">
        <v>155</v>
      </c>
      <c r="K1" s="67" t="s">
        <v>158</v>
      </c>
      <c r="L1" s="69" t="s">
        <v>160</v>
      </c>
      <c r="M1" s="67" t="s">
        <v>163</v>
      </c>
      <c r="N1" s="69" t="s">
        <v>165</v>
      </c>
    </row>
    <row r="2" spans="1:14" ht="16" x14ac:dyDescent="0.4">
      <c r="A2" s="22" t="s">
        <v>1</v>
      </c>
      <c r="B2" s="23" t="s">
        <v>6</v>
      </c>
      <c r="C2" s="62">
        <f>(Livability_Table[[#This Row],[SIGHTS &amp; LANDMARKS]] - AVERAGE(Livability_Table[SIGHTS &amp; LANDMARKS]))/_xlfn.STDEV.S(Livability_Table[SIGHTS &amp; LANDMARKS])</f>
        <v>2.0557593018275329</v>
      </c>
      <c r="D2" s="54">
        <f>(Livability_Table[[#This Row],[NATURE &amp; PARKS]] - AVERAGE(Livability_Table[NATURE &amp; PARKS]))/_xlfn.STDEV.S(Livability_Table[NATURE &amp; PARKS])</f>
        <v>0.37434263526217737</v>
      </c>
      <c r="E2" s="54">
        <f>(Livability_Table[[#This Row],[WALK SCORE]] - AVERAGE(Livability_Table[WALK SCORE]))/_xlfn.STDEV.S(Livability_Table[WALK SCORE])</f>
        <v>0.83472488350612728</v>
      </c>
      <c r="F2" s="54">
        <f>(Livability_Table[[#This Row],[BIKE SCORE]] - AVERAGE(Livability_Table[BIKE SCORE]))/_xlfn.STDEV.S(Livability_Table[BIKE SCORE])</f>
        <v>0.57900694481637605</v>
      </c>
      <c r="G2" s="54">
        <f xml:space="preserve"> -1 * (Livability_Table[[#This Row],[AIR QUALITY]] - AVERAGE(Livability_Table[AIR QUALITY]))/_xlfn.STDEV.S(Livability_Table[AIR QUALITY])</f>
        <v>-0.54764310047940001</v>
      </c>
      <c r="H2" s="54">
        <f xml:space="preserve"> -1 * (Livability_Table[[#This Row],[HEAT STRESS DAYS]] - AVERAGE(Livability_Table[HEAT STRESS DAYS]))/_xlfn.STDEV.S(Livability_Table[HEAT STRESS DAYS])</f>
        <v>-6.5407252901802521E-2</v>
      </c>
      <c r="I2" s="55">
        <f xml:space="preserve"> -1 * (Livability_Table[[#This Row],[MEDIAN MONTHLY RENT]] - AVERAGE(Livability_Table[MEDIAN MONTHLY RENT]))/_xlfn.STDEV.S(Livability_Table[MEDIAN MONTHLY RENT])</f>
        <v>0.60187998246096408</v>
      </c>
      <c r="J2" s="55">
        <f>(Livability_Table[[#This Row],[MEDIAN MONTLY HOUSEHOLD INCOME]] - AVERAGE(Livability_Table[MEDIAN MONTLY HOUSEHOLD INCOME]))/_xlfn.STDEV.S(Livability_Table[MEDIAN MONTLY HOUSEHOLD INCOME])</f>
        <v>4.581737461429447E-2</v>
      </c>
      <c r="K2" s="56">
        <f>-1 * (Livability_Table[[#This Row],[RENT TO INCOME RATIO]] - AVERAGE(Livability_Table[RENT TO INCOME RATIO]))/_xlfn.STDEV.S(Livability_Table[RENT TO INCOME RATIO])</f>
        <v>0.61926301927613048</v>
      </c>
      <c r="L2" s="57">
        <f>(Livability_Table[[#This Row],[LIFE EXPECTANCY]] - AVERAGE(Livability_Table[LIFE EXPECTANCY]))/_xlfn.STDEV.S(Livability_Table[LIFE EXPECTANCY])</f>
        <v>-0.42571574690854186</v>
      </c>
      <c r="M2" s="54">
        <f>(Livability_Table[[#This Row],[GP''s PER 100,000 RESIDENTS]] - AVERAGE(Livability_Table[GP''s PER 100,000 RESIDENTS]))/_xlfn.STDEV.S(Livability_Table[GP''s PER 100,000 RESIDENTS])</f>
        <v>-0.53941506327192101</v>
      </c>
      <c r="N2" s="57">
        <f>(0.08 * C2) + (0.1 * D2) + (0.12 * E2) + (0.1 * F2) + (0.05 * G2) + (0.06 * H2) + (0.12 * I2) + (0.12 * J2) + (0.12 * K2) + (0.05 *L2) + (0.08 * M2)</f>
        <v>0.41625235073170097</v>
      </c>
    </row>
    <row r="3" spans="1:14" ht="16" x14ac:dyDescent="0.4">
      <c r="A3" s="6" t="s">
        <v>0</v>
      </c>
      <c r="B3" s="7" t="s">
        <v>5</v>
      </c>
      <c r="C3" s="47">
        <f>(Livability_Table[[#This Row],[SIGHTS &amp; LANDMARKS]] - AVERAGE(Livability_Table[SIGHTS &amp; LANDMARKS]))/_xlfn.STDEV.S(Livability_Table[SIGHTS &amp; LANDMARKS])</f>
        <v>0.86986309967163999</v>
      </c>
      <c r="D3" s="63">
        <f>(Livability_Table[[#This Row],[NATURE &amp; PARKS]] - AVERAGE(Livability_Table[NATURE &amp; PARKS]))/_xlfn.STDEV.S(Livability_Table[NATURE &amp; PARKS])</f>
        <v>2.0014066877403027</v>
      </c>
      <c r="E3" s="63">
        <f>(Livability_Table[[#This Row],[WALK SCORE]] - AVERAGE(Livability_Table[WALK SCORE]))/_xlfn.STDEV.S(Livability_Table[WALK SCORE])</f>
        <v>1.7250980925793298</v>
      </c>
      <c r="F3" s="25">
        <f>(Livability_Table[[#This Row],[BIKE SCORE]] - AVERAGE(Livability_Table[BIKE SCORE]))/_xlfn.STDEV.S(Livability_Table[BIKE SCORE])</f>
        <v>-0.69480833377965123</v>
      </c>
      <c r="G3" s="25">
        <f xml:space="preserve"> -1 * (Livability_Table[[#This Row],[AIR QUALITY]] - AVERAGE(Livability_Table[AIR QUALITY]))/_xlfn.STDEV.S(Livability_Table[AIR QUALITY])</f>
        <v>-0.1633321527745579</v>
      </c>
      <c r="H3" s="25">
        <f xml:space="preserve"> -1 * (Livability_Table[[#This Row],[HEAT STRESS DAYS]] - AVERAGE(Livability_Table[HEAT STRESS DAYS]))/_xlfn.STDEV.S(Livability_Table[HEAT STRESS DAYS])</f>
        <v>0.35469954709830559</v>
      </c>
      <c r="I3" s="64">
        <f xml:space="preserve"> -1 * (Livability_Table[[#This Row],[MEDIAN MONTHLY RENT]] - AVERAGE(Livability_Table[MEDIAN MONTHLY RENT]))/_xlfn.STDEV.S(Livability_Table[MEDIAN MONTHLY RENT])</f>
        <v>-1.9527885260197464</v>
      </c>
      <c r="J3" s="49">
        <f>(Livability_Table[[#This Row],[MEDIAN MONTLY HOUSEHOLD INCOME]] - AVERAGE(Livability_Table[MEDIAN MONTLY HOUSEHOLD INCOME]))/_xlfn.STDEV.S(Livability_Table[MEDIAN MONTLY HOUSEHOLD INCOME])</f>
        <v>0.71082981962976244</v>
      </c>
      <c r="K3" s="51">
        <f>-1 * (Livability_Table[[#This Row],[RENT TO INCOME RATIO]] - AVERAGE(Livability_Table[RENT TO INCOME RATIO]))/_xlfn.STDEV.S(Livability_Table[RENT TO INCOME RATIO])</f>
        <v>-0.89495623043515737</v>
      </c>
      <c r="L3" s="44">
        <f>(Livability_Table[[#This Row],[LIFE EXPECTANCY]] - AVERAGE(Livability_Table[LIFE EXPECTANCY]))/_xlfn.STDEV.S(Livability_Table[LIFE EXPECTANCY])</f>
        <v>-0.90093332485296118</v>
      </c>
      <c r="M3" s="25">
        <f>(Livability_Table[[#This Row],[GP''s PER 100,000 RESIDENTS]] - AVERAGE(Livability_Table[GP''s PER 100,000 RESIDENTS]))/_xlfn.STDEV.S(Livability_Table[GP''s PER 100,000 RESIDENTS])</f>
        <v>-3.173029783952476E-2</v>
      </c>
      <c r="N3" s="57">
        <f t="shared" ref="N3:N9" si="0">(0.08 * C3) + (0.1 * D3) + (0.12 * E3) + (0.1 * F3) + (0.05 * G3) + (0.06 * H3) + (0.12 * I3) + (0.12 * J3) + (0.12 * K3) + (0.05 *L3) + (0.08 * M3)</f>
        <v>0.11636113717765938</v>
      </c>
    </row>
    <row r="4" spans="1:14" ht="16" x14ac:dyDescent="0.4">
      <c r="A4" s="22" t="s">
        <v>2</v>
      </c>
      <c r="B4" s="23" t="s">
        <v>7</v>
      </c>
      <c r="C4" s="46">
        <f>(Livability_Table[[#This Row],[SIGHTS &amp; LANDMARKS]] - AVERAGE(Livability_Table[SIGHTS &amp; LANDMARKS]))/_xlfn.STDEV.S(Livability_Table[SIGHTS &amp; LANDMARKS])</f>
        <v>-9.3677564580022771E-2</v>
      </c>
      <c r="D4" s="54">
        <f>(Livability_Table[[#This Row],[NATURE &amp; PARKS]] - AVERAGE(Livability_Table[NATURE &amp; PARKS]))/_xlfn.STDEV.S(Livability_Table[NATURE &amp; PARKS])</f>
        <v>-9.7270133572061837E-2</v>
      </c>
      <c r="E4" s="54">
        <f>(Livability_Table[[#This Row],[WALK SCORE]] - AVERAGE(Livability_Table[WALK SCORE]))/_xlfn.STDEV.S(Livability_Table[WALK SCORE])</f>
        <v>-5.5648325567075149E-2</v>
      </c>
      <c r="F4" s="54">
        <f>(Livability_Table[[#This Row],[BIKE SCORE]] - AVERAGE(Livability_Table[BIKE SCORE]))/_xlfn.STDEV.S(Livability_Table[BIKE SCORE])</f>
        <v>-0.1158013889632752</v>
      </c>
      <c r="G4" s="54">
        <f xml:space="preserve"> -1 * (Livability_Table[[#This Row],[AIR QUALITY]] - AVERAGE(Livability_Table[AIR QUALITY]))/_xlfn.STDEV.S(Livability_Table[AIR QUALITY])</f>
        <v>1.297049448503842</v>
      </c>
      <c r="H4" s="54">
        <f xml:space="preserve"> -1 * (Livability_Table[[#This Row],[HEAT STRESS DAYS]] - AVERAGE(Livability_Table[HEAT STRESS DAYS]))/_xlfn.STDEV.S(Livability_Table[HEAT STRESS DAYS])</f>
        <v>0.48598292209833938</v>
      </c>
      <c r="I4" s="55">
        <f xml:space="preserve"> -1 * (Livability_Table[[#This Row],[MEDIAN MONTHLY RENT]] - AVERAGE(Livability_Table[MEDIAN MONTHLY RENT]))/_xlfn.STDEV.S(Livability_Table[MEDIAN MONTHLY RENT])</f>
        <v>0.31317679062454185</v>
      </c>
      <c r="J4" s="55">
        <f>(Livability_Table[[#This Row],[MEDIAN MONTLY HOUSEHOLD INCOME]] - AVERAGE(Livability_Table[MEDIAN MONTLY HOUSEHOLD INCOME]))/_xlfn.STDEV.S(Livability_Table[MEDIAN MONTLY HOUSEHOLD INCOME])</f>
        <v>-0.15067110565186043</v>
      </c>
      <c r="K4" s="56">
        <f>-1 * (Livability_Table[[#This Row],[RENT TO INCOME RATIO]] - AVERAGE(Livability_Table[RENT TO INCOME RATIO]))/_xlfn.STDEV.S(Livability_Table[RENT TO INCOME RATIO])</f>
        <v>0.21406567086163092</v>
      </c>
      <c r="L4" s="57">
        <f>(Livability_Table[[#This Row],[LIFE EXPECTANCY]] - AVERAGE(Livability_Table[LIFE EXPECTANCY]))/_xlfn.STDEV.S(Livability_Table[LIFE EXPECTANCY])</f>
        <v>1.475154564869158</v>
      </c>
      <c r="M4" s="54">
        <f>(Livability_Table[[#This Row],[GP''s PER 100,000 RESIDENTS]] - AVERAGE(Livability_Table[GP''s PER 100,000 RESIDENTS]))/_xlfn.STDEV.S(Livability_Table[GP''s PER 100,000 RESIDENTS])</f>
        <v>-0.64095201635840016</v>
      </c>
      <c r="N4" s="57">
        <f t="shared" si="0"/>
        <v>0.12620242089801126</v>
      </c>
    </row>
    <row r="5" spans="1:14" ht="16" x14ac:dyDescent="0.4">
      <c r="A5" s="6" t="s">
        <v>3</v>
      </c>
      <c r="B5" s="7" t="s">
        <v>8</v>
      </c>
      <c r="C5" s="47">
        <f>(Livability_Table[[#This Row],[SIGHTS &amp; LANDMARKS]] - AVERAGE(Livability_Table[SIGHTS &amp; LANDMARKS]))/_xlfn.STDEV.S(Livability_Table[SIGHTS &amp; LANDMARKS])</f>
        <v>-0.40662239570449443</v>
      </c>
      <c r="D5" s="25">
        <f>(Livability_Table[[#This Row],[NATURE &amp; PARKS]] - AVERAGE(Livability_Table[NATURE &amp; PARKS]))/_xlfn.STDEV.S(Livability_Table[NATURE &amp; PARKS])</f>
        <v>-0.85185056370684453</v>
      </c>
      <c r="E5" s="25">
        <f>(Livability_Table[[#This Row],[WALK SCORE]] - AVERAGE(Livability_Table[WALK SCORE]))/_xlfn.STDEV.S(Livability_Table[WALK SCORE])</f>
        <v>-0.20404386041260889</v>
      </c>
      <c r="F5" s="25">
        <f>(Livability_Table[[#This Row],[BIKE SCORE]] - AVERAGE(Livability_Table[BIKE SCORE]))/_xlfn.STDEV.S(Livability_Table[BIKE SCORE])</f>
        <v>-0.1158013889632752</v>
      </c>
      <c r="G5" s="25">
        <f xml:space="preserve"> -1 * (Livability_Table[[#This Row],[AIR QUALITY]] - AVERAGE(Livability_Table[AIR QUALITY]))/_xlfn.STDEV.S(Livability_Table[AIR QUALITY])</f>
        <v>0.22097879493028422</v>
      </c>
      <c r="H5" s="25">
        <f xml:space="preserve"> -1 * (Livability_Table[[#This Row],[HEAT STRESS DAYS]] - AVERAGE(Livability_Table[HEAT STRESS DAYS]))/_xlfn.STDEV.S(Livability_Table[HEAT STRESS DAYS])</f>
        <v>-2.2109526957594974</v>
      </c>
      <c r="I5" s="49">
        <f xml:space="preserve"> -1 * (Livability_Table[[#This Row],[MEDIAN MONTHLY RENT]] - AVERAGE(Livability_Table[MEDIAN MONTHLY RENT]))/_xlfn.STDEV.S(Livability_Table[MEDIAN MONTHLY RENT])</f>
        <v>0.38477954822177884</v>
      </c>
      <c r="J5" s="49">
        <f>(Livability_Table[[#This Row],[MEDIAN MONTLY HOUSEHOLD INCOME]] - AVERAGE(Livability_Table[MEDIAN MONTLY HOUSEHOLD INCOME]))/_xlfn.STDEV.S(Livability_Table[MEDIAN MONTLY HOUSEHOLD INCOME])</f>
        <v>-9.0209087272277569E-2</v>
      </c>
      <c r="K5" s="51">
        <f>-1 * (Livability_Table[[#This Row],[RENT TO INCOME RATIO]] - AVERAGE(Livability_Table[RENT TO INCOME RATIO]))/_xlfn.STDEV.S(Livability_Table[RENT TO INCOME RATIO])</f>
        <v>0.3262927150112595</v>
      </c>
      <c r="L5" s="44">
        <f>(Livability_Table[[#This Row],[LIFE EXPECTANCY]] - AVERAGE(Livability_Table[LIFE EXPECTANCY]))/_xlfn.STDEV.S(Livability_Table[LIFE EXPECTANCY])</f>
        <v>0.92073405726732793</v>
      </c>
      <c r="M5" s="25">
        <f>(Livability_Table[[#This Row],[GP''s PER 100,000 RESIDENTS]] - AVERAGE(Livability_Table[GP''s PER 100,000 RESIDENTS]))/_xlfn.STDEV.S(Livability_Table[GP''s PER 100,000 RESIDENTS])</f>
        <v>0.88210227993878843</v>
      </c>
      <c r="N5" s="57">
        <f t="shared" si="0"/>
        <v>-8.4280005798179472E-2</v>
      </c>
    </row>
    <row r="6" spans="1:14" ht="16" x14ac:dyDescent="0.4">
      <c r="A6" s="22" t="s">
        <v>4</v>
      </c>
      <c r="B6" s="23" t="s">
        <v>9</v>
      </c>
      <c r="C6" s="46">
        <f>(Livability_Table[[#This Row],[SIGHTS &amp; LANDMARKS]] - AVERAGE(Livability_Table[SIGHTS &amp; LANDMARKS]))/_xlfn.STDEV.S(Livability_Table[SIGHTS &amp; LANDMARKS])</f>
        <v>-0.48897629863198699</v>
      </c>
      <c r="D6" s="54">
        <f>(Livability_Table[[#This Row],[NATURE &amp; PARKS]] - AVERAGE(Livability_Table[NATURE &amp; PARKS]))/_xlfn.STDEV.S(Livability_Table[NATURE &amp; PARKS])</f>
        <v>-0.30949587954746949</v>
      </c>
      <c r="E6" s="54">
        <f>(Livability_Table[[#This Row],[WALK SCORE]] - AVERAGE(Livability_Table[WALK SCORE]))/_xlfn.STDEV.S(Livability_Table[WALK SCORE])</f>
        <v>0.24114274412399234</v>
      </c>
      <c r="F6" s="54">
        <f>(Livability_Table[[#This Row],[BIKE SCORE]] - AVERAGE(Livability_Table[BIKE SCORE]))/_xlfn.STDEV.S(Livability_Table[BIKE SCORE])</f>
        <v>-0.57900694481637605</v>
      </c>
      <c r="G6" s="54">
        <f xml:space="preserve"> -1 * (Livability_Table[[#This Row],[AIR QUALITY]] - AVERAGE(Livability_Table[AIR QUALITY]))/_xlfn.STDEV.S(Livability_Table[AIR QUALITY])</f>
        <v>0.22097879493028422</v>
      </c>
      <c r="H6" s="54">
        <f xml:space="preserve"> -1 * (Livability_Table[[#This Row],[HEAT STRESS DAYS]] - AVERAGE(Livability_Table[HEAT STRESS DAYS]))/_xlfn.STDEV.S(Livability_Table[HEAT STRESS DAYS])</f>
        <v>-0.53427644933049434</v>
      </c>
      <c r="I6" s="55">
        <f xml:space="preserve"> -1 * (Livability_Table[[#This Row],[MEDIAN MONTHLY RENT]] - AVERAGE(Livability_Table[MEDIAN MONTHLY RENT]))/_xlfn.STDEV.S(Livability_Table[MEDIAN MONTHLY RENT])</f>
        <v>0.6388547296195991</v>
      </c>
      <c r="J6" s="55">
        <f>(Livability_Table[[#This Row],[MEDIAN MONTLY HOUSEHOLD INCOME]] - AVERAGE(Livability_Table[MEDIAN MONTLY HOUSEHOLD INCOME]))/_xlfn.STDEV.S(Livability_Table[MEDIAN MONTLY HOUSEHOLD INCOME])</f>
        <v>-1.288000560988479</v>
      </c>
      <c r="K6" s="56">
        <f>-1 * (Livability_Table[[#This Row],[RENT TO INCOME RATIO]] - AVERAGE(Livability_Table[RENT TO INCOME RATIO]))/_xlfn.STDEV.S(Livability_Table[RENT TO INCOME RATIO])</f>
        <v>-0.59140708958289656</v>
      </c>
      <c r="L6" s="57">
        <f>(Livability_Table[[#This Row],[LIFE EXPECTANCY]] - AVERAGE(Livability_Table[LIFE EXPECTANCY]))/_xlfn.STDEV.S(Livability_Table[LIFE EXPECTANCY])</f>
        <v>0.76232819795251772</v>
      </c>
      <c r="M6" s="61">
        <f>(Livability_Table[[#This Row],[GP''s PER 100,000 RESIDENTS]] - AVERAGE(Livability_Table[GP''s PER 100,000 RESIDENTS]))/_xlfn.STDEV.S(Livability_Table[GP''s PER 100,000 RESIDENTS])</f>
        <v>2.1005457169765394</v>
      </c>
      <c r="N6" s="57">
        <f t="shared" si="0"/>
        <v>-6.2745187503844058E-2</v>
      </c>
    </row>
    <row r="7" spans="1:14" ht="16" x14ac:dyDescent="0.4">
      <c r="A7" s="6" t="s">
        <v>10</v>
      </c>
      <c r="B7" s="7" t="s">
        <v>11</v>
      </c>
      <c r="C7" s="47">
        <f>(Livability_Table[[#This Row],[SIGHTS &amp; LANDMARKS]] - AVERAGE(Livability_Table[SIGHTS &amp; LANDMARKS]))/_xlfn.STDEV.S(Livability_Table[SIGHTS &amp; LANDMARKS])</f>
        <v>-0.71956722682896612</v>
      </c>
      <c r="D7" s="25">
        <f>(Livability_Table[[#This Row],[NATURE &amp; PARKS]] - AVERAGE(Livability_Table[NATURE &amp; PARKS]))/_xlfn.STDEV.S(Livability_Table[NATURE &amp; PARKS])</f>
        <v>0.53940710435416106</v>
      </c>
      <c r="E7" s="25">
        <f>(Livability_Table[[#This Row],[WALK SCORE]] - AVERAGE(Livability_Table[WALK SCORE]))/_xlfn.STDEV.S(Livability_Table[WALK SCORE])</f>
        <v>-0.50083493010367641</v>
      </c>
      <c r="F7" s="25">
        <f>(Livability_Table[[#This Row],[BIKE SCORE]] - AVERAGE(Livability_Table[BIKE SCORE]))/_xlfn.STDEV.S(Livability_Table[BIKE SCORE])</f>
        <v>-0.34740416688982562</v>
      </c>
      <c r="G7" s="25">
        <f xml:space="preserve"> -1 * (Livability_Table[[#This Row],[AIR QUALITY]] - AVERAGE(Livability_Table[AIR QUALITY]))/_xlfn.STDEV.S(Livability_Table[AIR QUALITY])</f>
        <v>1.0664628798809368</v>
      </c>
      <c r="H7" s="25">
        <f xml:space="preserve"> -1 * (Livability_Table[[#This Row],[HEAT STRESS DAYS]] - AVERAGE(Livability_Table[HEAT STRESS DAYS]))/_xlfn.STDEV.S(Livability_Table[HEAT STRESS DAYS])</f>
        <v>0.92109353638416558</v>
      </c>
      <c r="I7" s="49">
        <f xml:space="preserve"> -1 * (Livability_Table[[#This Row],[MEDIAN MONTHLY RENT]] - AVERAGE(Livability_Table[MEDIAN MONTHLY RENT]))/_xlfn.STDEV.S(Livability_Table[MEDIAN MONTHLY RENT])</f>
        <v>-1.103761010821404</v>
      </c>
      <c r="J7" s="49">
        <f>(Livability_Table[[#This Row],[MEDIAN MONTLY HOUSEHOLD INCOME]] - AVERAGE(Livability_Table[MEDIAN MONTLY HOUSEHOLD INCOME]))/_xlfn.STDEV.S(Livability_Table[MEDIAN MONTLY HOUSEHOLD INCOME])</f>
        <v>-0.74389471344219082</v>
      </c>
      <c r="K7" s="51">
        <f>-1 * (Livability_Table[[#This Row],[RENT TO INCOME RATIO]] - AVERAGE(Livability_Table[RENT TO INCOME RATIO]))/_xlfn.STDEV.S(Livability_Table[RENT TO INCOME RATIO])</f>
        <v>-1.6787692798092837</v>
      </c>
      <c r="L7" s="44">
        <f>(Livability_Table[[#This Row],[LIFE EXPECTANCY]] - AVERAGE(Livability_Table[LIFE EXPECTANCY]))/_xlfn.STDEV.S(Livability_Table[LIFE EXPECTANCY])</f>
        <v>-0.10890402827892146</v>
      </c>
      <c r="M7" s="25">
        <f>(Livability_Table[[#This Row],[GP''s PER 100,000 RESIDENTS]] - AVERAGE(Livability_Table[GP''s PER 100,000 RESIDENTS]))/_xlfn.STDEV.S(Livability_Table[GP''s PER 100,000 RESIDENTS])</f>
        <v>-0.48864658672868133</v>
      </c>
      <c r="N7" s="57">
        <f t="shared" si="0"/>
        <v>-0.45758444867621406</v>
      </c>
    </row>
    <row r="8" spans="1:14" ht="16" x14ac:dyDescent="0.4">
      <c r="A8" s="22" t="s">
        <v>14</v>
      </c>
      <c r="B8" s="23" t="s">
        <v>15</v>
      </c>
      <c r="C8" s="46">
        <f>(Livability_Table[[#This Row],[SIGHTS &amp; LANDMARKS]] - AVERAGE(Livability_Table[SIGHTS &amp; LANDMARKS]))/_xlfn.STDEV.S(Livability_Table[SIGHTS &amp; LANDMARKS])</f>
        <v>-0.19250224809301383</v>
      </c>
      <c r="D8" s="54">
        <f>(Livability_Table[[#This Row],[NATURE &amp; PARKS]] - AVERAGE(Livability_Table[NATURE &amp; PARKS]))/_xlfn.STDEV.S(Livability_Table[NATURE &amp; PARKS])</f>
        <v>-0.40381843331431733</v>
      </c>
      <c r="E8" s="54">
        <f>(Livability_Table[[#This Row],[WALK SCORE]] - AVERAGE(Livability_Table[WALK SCORE]))/_xlfn.STDEV.S(Livability_Table[WALK SCORE])</f>
        <v>-1.6879992088679463</v>
      </c>
      <c r="F8" s="61">
        <f>(Livability_Table[[#This Row],[BIKE SCORE]] - AVERAGE(Livability_Table[BIKE SCORE]))/_xlfn.STDEV.S(Livability_Table[BIKE SCORE])</f>
        <v>2.200226390302229</v>
      </c>
      <c r="G8" s="54">
        <f xml:space="preserve"> -1 * (Livability_Table[[#This Row],[AIR QUALITY]] - AVERAGE(Livability_Table[AIR QUALITY]))/_xlfn.STDEV.S(Livability_Table[AIR QUALITY])</f>
        <v>-0.1633321527745579</v>
      </c>
      <c r="H8" s="54">
        <f xml:space="preserve"> -1 * (Livability_Table[[#This Row],[HEAT STRESS DAYS]] - AVERAGE(Livability_Table[HEAT STRESS DAYS]))/_xlfn.STDEV.S(Livability_Table[HEAT STRESS DAYS])</f>
        <v>0.34907311674116132</v>
      </c>
      <c r="I8" s="55">
        <f xml:space="preserve"> -1 * (Livability_Table[[#This Row],[MEDIAN MONTHLY RENT]] - AVERAGE(Livability_Table[MEDIAN MONTHLY RENT]))/_xlfn.STDEV.S(Livability_Table[MEDIAN MONTHLY RENT])</f>
        <v>0.15458104856846427</v>
      </c>
      <c r="J8" s="65">
        <f>(Livability_Table[[#This Row],[MEDIAN MONTLY HOUSEHOLD INCOME]] - AVERAGE(Livability_Table[MEDIAN MONTLY HOUSEHOLD INCOME]))/_xlfn.STDEV.S(Livability_Table[MEDIAN MONTLY HOUSEHOLD INCOME])</f>
        <v>2.0030812075521967</v>
      </c>
      <c r="K8" s="66">
        <f>-1 * (Livability_Table[[#This Row],[RENT TO INCOME RATIO]] - AVERAGE(Livability_Table[RENT TO INCOME RATIO]))/_xlfn.STDEV.S(Livability_Table[RENT TO INCOME RATIO])</f>
        <v>1.4947969547579805</v>
      </c>
      <c r="L8" s="57">
        <f>(Livability_Table[[#This Row],[LIFE EXPECTANCY]] - AVERAGE(Livability_Table[LIFE EXPECTANCY]))/_xlfn.STDEV.S(Livability_Table[LIFE EXPECTANCY])</f>
        <v>-0.18810695793633217</v>
      </c>
      <c r="M8" s="54">
        <f>(Livability_Table[[#This Row],[GP''s PER 100,000 RESIDENTS]] - AVERAGE(Livability_Table[GP''s PER 100,000 RESIDENTS]))/_xlfn.STDEV.S(Livability_Table[GP''s PER 100,000 RESIDENTS])</f>
        <v>-0.79325744598811909</v>
      </c>
      <c r="N8" s="57">
        <f t="shared" si="0"/>
        <v>0.33988765188250908</v>
      </c>
    </row>
    <row r="9" spans="1:14" ht="16" x14ac:dyDescent="0.4">
      <c r="A9" s="9" t="s">
        <v>12</v>
      </c>
      <c r="B9" s="10" t="s">
        <v>13</v>
      </c>
      <c r="C9" s="48">
        <f>(Livability_Table[[#This Row],[SIGHTS &amp; LANDMARKS]] - AVERAGE(Livability_Table[SIGHTS &amp; LANDMARKS]))/_xlfn.STDEV.S(Livability_Table[SIGHTS &amp; LANDMARKS])</f>
        <v>-1.0242766676606885</v>
      </c>
      <c r="D9" s="30">
        <f>(Livability_Table[[#This Row],[NATURE &amp; PARKS]] - AVERAGE(Livability_Table[NATURE &amp; PARKS]))/_xlfn.STDEV.S(Livability_Table[NATURE &amp; PARKS])</f>
        <v>-1.2527214172159478</v>
      </c>
      <c r="E9" s="30">
        <f>(Livability_Table[[#This Row],[WALK SCORE]] - AVERAGE(Livability_Table[WALK SCORE]))/_xlfn.STDEV.S(Livability_Table[WALK SCORE])</f>
        <v>-0.35243939525814261</v>
      </c>
      <c r="F9" s="30">
        <f>(Livability_Table[[#This Row],[BIKE SCORE]] - AVERAGE(Livability_Table[BIKE SCORE]))/_xlfn.STDEV.S(Livability_Table[BIKE SCORE])</f>
        <v>-0.92641111170620161</v>
      </c>
      <c r="G9" s="70">
        <f xml:space="preserve"> -1 * (Livability_Table[[#This Row],[AIR QUALITY]] - AVERAGE(Livability_Table[AIR QUALITY]))/_xlfn.STDEV.S(Livability_Table[AIR QUALITY])</f>
        <v>-1.9311625122168314</v>
      </c>
      <c r="H9" s="30">
        <f xml:space="preserve"> -1 * (Livability_Table[[#This Row],[HEAT STRESS DAYS]] - AVERAGE(Livability_Table[HEAT STRESS DAYS]))/_xlfn.STDEV.S(Livability_Table[HEAT STRESS DAYS])</f>
        <v>0.69978727566982291</v>
      </c>
      <c r="I9" s="50">
        <f xml:space="preserve"> -1 * (Livability_Table[[#This Row],[MEDIAN MONTHLY RENT]] - AVERAGE(Livability_Table[MEDIAN MONTHLY RENT]))/_xlfn.STDEV.S(Livability_Table[MEDIAN MONTHLY RENT])</f>
        <v>0.96327743734580229</v>
      </c>
      <c r="J9" s="50">
        <f>(Livability_Table[[#This Row],[MEDIAN MONTLY HOUSEHOLD INCOME]] - AVERAGE(Livability_Table[MEDIAN MONTLY HOUSEHOLD INCOME]))/_xlfn.STDEV.S(Livability_Table[MEDIAN MONTLY HOUSEHOLD INCOME])</f>
        <v>-0.48695293444144599</v>
      </c>
      <c r="K9" s="52">
        <f>-1 * (Livability_Table[[#This Row],[RENT TO INCOME RATIO]] - AVERAGE(Livability_Table[RENT TO INCOME RATIO]))/_xlfn.STDEV.S(Livability_Table[RENT TO INCOME RATIO])</f>
        <v>0.5107142399203356</v>
      </c>
      <c r="L9" s="45">
        <f>(Livability_Table[[#This Row],[LIFE EXPECTANCY]] - AVERAGE(Livability_Table[LIFE EXPECTANCY]))/_xlfn.STDEV.S(Livability_Table[LIFE EXPECTANCY])</f>
        <v>-1.5345567621121907</v>
      </c>
      <c r="M9" s="30">
        <f>(Livability_Table[[#This Row],[GP''s PER 100,000 RESIDENTS]] - AVERAGE(Livability_Table[GP''s PER 100,000 RESIDENTS]))/_xlfn.STDEV.S(Livability_Table[GP''s PER 100,000 RESIDENTS])</f>
        <v>-0.48864658672868133</v>
      </c>
      <c r="N9" s="71">
        <f t="shared" si="0"/>
        <v>-0.3940939187116404</v>
      </c>
    </row>
    <row r="11" spans="1:14" ht="46.5" customHeight="1" x14ac:dyDescent="0.45">
      <c r="A11" s="37" t="s">
        <v>76</v>
      </c>
      <c r="C11" s="14" t="s">
        <v>168</v>
      </c>
      <c r="D11" s="15" t="s">
        <v>167</v>
      </c>
      <c r="E11" s="15" t="s">
        <v>169</v>
      </c>
      <c r="F11" s="15" t="s">
        <v>170</v>
      </c>
      <c r="G11" s="15" t="s">
        <v>171</v>
      </c>
      <c r="H11" s="15" t="s">
        <v>172</v>
      </c>
      <c r="I11" s="15" t="s">
        <v>173</v>
      </c>
      <c r="J11" s="15" t="s">
        <v>174</v>
      </c>
      <c r="K11" s="15" t="s">
        <v>159</v>
      </c>
      <c r="L11" s="15" t="s">
        <v>175</v>
      </c>
      <c r="M11" s="15" t="s">
        <v>176</v>
      </c>
    </row>
    <row r="13" spans="1:14" s="59" customFormat="1" ht="18.5" x14ac:dyDescent="0.45">
      <c r="A13" s="60" t="s">
        <v>166</v>
      </c>
      <c r="C13" s="59">
        <v>0.08</v>
      </c>
      <c r="D13" s="59">
        <v>0.1</v>
      </c>
      <c r="E13" s="59">
        <v>0.12</v>
      </c>
      <c r="F13" s="59">
        <v>0.1</v>
      </c>
      <c r="G13" s="59">
        <v>0.05</v>
      </c>
      <c r="H13" s="59">
        <v>0.06</v>
      </c>
      <c r="I13" s="59">
        <v>0.12</v>
      </c>
      <c r="J13" s="59">
        <v>0.12</v>
      </c>
      <c r="K13" s="59">
        <v>0.12</v>
      </c>
      <c r="L13" s="59">
        <v>0.05</v>
      </c>
      <c r="M13" s="59">
        <v>0.08</v>
      </c>
      <c r="N13" s="59">
        <v>1</v>
      </c>
    </row>
    <row r="15" spans="1:14" ht="131.5" x14ac:dyDescent="0.45">
      <c r="A15" s="38" t="s">
        <v>78</v>
      </c>
      <c r="C15" s="15" t="s">
        <v>218</v>
      </c>
      <c r="D15" s="15" t="s">
        <v>177</v>
      </c>
      <c r="E15" s="15" t="s">
        <v>178</v>
      </c>
      <c r="F15" s="15" t="s">
        <v>179</v>
      </c>
      <c r="G15" s="15" t="s">
        <v>262</v>
      </c>
      <c r="H15" s="15" t="s">
        <v>180</v>
      </c>
      <c r="I15" s="89" t="s">
        <v>182</v>
      </c>
      <c r="J15" s="89"/>
      <c r="K15" s="89"/>
      <c r="L15" s="15" t="s">
        <v>181</v>
      </c>
      <c r="M15" s="15" t="s">
        <v>261</v>
      </c>
      <c r="N15" s="15" t="s">
        <v>263</v>
      </c>
    </row>
  </sheetData>
  <mergeCells count="1">
    <mergeCell ref="I15:K15"/>
  </mergeCells>
  <conditionalFormatting sqref="C2:C9">
    <cfRule type="aboveAverage" dxfId="63" priority="21" aboveAverage="0"/>
    <cfRule type="aboveAverage" dxfId="62" priority="22"/>
  </conditionalFormatting>
  <conditionalFormatting sqref="D2:D9">
    <cfRule type="aboveAverage" dxfId="61" priority="19" aboveAverage="0"/>
    <cfRule type="aboveAverage" dxfId="60" priority="20"/>
  </conditionalFormatting>
  <conditionalFormatting sqref="E2:E9">
    <cfRule type="aboveAverage" dxfId="59" priority="17" aboveAverage="0"/>
    <cfRule type="aboveAverage" dxfId="58" priority="18"/>
  </conditionalFormatting>
  <conditionalFormatting sqref="F2:F9">
    <cfRule type="aboveAverage" dxfId="57" priority="15" aboveAverage="0"/>
    <cfRule type="aboveAverage" dxfId="56" priority="16"/>
  </conditionalFormatting>
  <conditionalFormatting sqref="G2:G9">
    <cfRule type="aboveAverage" dxfId="55" priority="13" aboveAverage="0"/>
    <cfRule type="aboveAverage" dxfId="54" priority="14"/>
  </conditionalFormatting>
  <conditionalFormatting sqref="H2:H9">
    <cfRule type="aboveAverage" dxfId="53" priority="11" aboveAverage="0"/>
    <cfRule type="aboveAverage" dxfId="52" priority="12"/>
  </conditionalFormatting>
  <conditionalFormatting sqref="I2:I9">
    <cfRule type="aboveAverage" dxfId="51" priority="9" aboveAverage="0"/>
    <cfRule type="aboveAverage" dxfId="50" priority="10"/>
  </conditionalFormatting>
  <conditionalFormatting sqref="J2:J9">
    <cfRule type="aboveAverage" dxfId="49" priority="7" aboveAverage="0"/>
    <cfRule type="aboveAverage" dxfId="48" priority="8"/>
  </conditionalFormatting>
  <conditionalFormatting sqref="K2:K9">
    <cfRule type="aboveAverage" dxfId="47" priority="5" aboveAverage="0"/>
    <cfRule type="aboveAverage" dxfId="46" priority="6"/>
  </conditionalFormatting>
  <conditionalFormatting sqref="L2:L9 N2:N9">
    <cfRule type="aboveAverage" dxfId="45" priority="25" aboveAverage="0"/>
    <cfRule type="aboveAverage" dxfId="44" priority="26"/>
  </conditionalFormatting>
  <conditionalFormatting sqref="M2:M9">
    <cfRule type="aboveAverage" dxfId="43" priority="1" aboveAverage="0"/>
    <cfRule type="aboveAverage" dxfId="42" priority="2"/>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7BDA-A39E-4779-9487-22925D1C1A4B}">
  <dimension ref="A1:J15"/>
  <sheetViews>
    <sheetView zoomScale="80" zoomScaleNormal="80" workbookViewId="0">
      <pane xSplit="2" topLeftCell="C1" activePane="topRight" state="frozen"/>
      <selection pane="topRight" activeCell="H13" sqref="H13"/>
    </sheetView>
  </sheetViews>
  <sheetFormatPr defaultRowHeight="14.5" x14ac:dyDescent="0.35"/>
  <cols>
    <col min="1" max="1" width="21.453125" bestFit="1" customWidth="1"/>
    <col min="2" max="2" width="14.54296875" customWidth="1"/>
    <col min="3" max="3" width="24.26953125" customWidth="1"/>
    <col min="4" max="4" width="24.453125" customWidth="1"/>
    <col min="5" max="5" width="30.453125" customWidth="1"/>
    <col min="6" max="6" width="24.81640625" customWidth="1"/>
    <col min="7" max="7" width="31.54296875" customWidth="1"/>
    <col min="8" max="8" width="24.1796875" customWidth="1"/>
    <col min="9" max="9" width="28.26953125" customWidth="1"/>
    <col min="10" max="10" width="25.54296875" customWidth="1"/>
  </cols>
  <sheetData>
    <row r="1" spans="1:10" ht="18.5" x14ac:dyDescent="0.45">
      <c r="A1" s="18" t="s">
        <v>33</v>
      </c>
      <c r="B1" s="19" t="s">
        <v>34</v>
      </c>
      <c r="C1" s="19" t="s">
        <v>130</v>
      </c>
      <c r="D1" s="19" t="s">
        <v>132</v>
      </c>
      <c r="E1" s="31" t="s">
        <v>134</v>
      </c>
      <c r="F1" s="31" t="s">
        <v>136</v>
      </c>
      <c r="G1" s="19" t="s">
        <v>137</v>
      </c>
      <c r="H1" s="21" t="s">
        <v>140</v>
      </c>
      <c r="I1" s="19" t="s">
        <v>141</v>
      </c>
      <c r="J1" s="21" t="s">
        <v>183</v>
      </c>
    </row>
    <row r="2" spans="1:10" ht="16" x14ac:dyDescent="0.4">
      <c r="A2" s="22" t="s">
        <v>1</v>
      </c>
      <c r="B2" s="23" t="s">
        <v>6</v>
      </c>
      <c r="C2" s="61">
        <f>(Lovability_Table[[#This Row],[NIGHTLIFE]] - AVERAGE(Lovability_Table[NIGHTLIFE]))/_xlfn.STDEV.S(Lovability_Table[NIGHTLIFE])</f>
        <v>1.3326899661209233</v>
      </c>
      <c r="D2" s="54">
        <f>(Lovability_Table[[#This Row],[SHOPPING]] - AVERAGE(Lovability_Table[SHOPPING]))/_xlfn.STDEV.S(Lovability_Table[SHOPPING])</f>
        <v>1.2833840616073993</v>
      </c>
      <c r="E2" s="73">
        <f>(Lovability_Table[[#This Row],[RESTAURANTS]] - AVERAGE(Lovability_Table[RESTAURANTS]))/_xlfn.STDEV.S(Lovability_Table[RESTAURANTS])</f>
        <v>1.5438759366776784</v>
      </c>
      <c r="F2" s="72">
        <f>(Lovability_Table[[#This Row],[CULTURE]] - AVERAGE(Lovability_Table[CULTURE]))/_xlfn.STDEV.S(Lovability_Table[CULTURE])</f>
        <v>0.31462572214125317</v>
      </c>
      <c r="G2" s="54">
        <f>(Lovability_Table[[#This Row],[GOOGLE TRENDS]] - AVERAGE(Lovability_Table[GOOGLE TRENDS]))/_xlfn.STDEV.S(Lovability_Table[GOOGLE TRENDS])</f>
        <v>1.2577492737067688</v>
      </c>
      <c r="H2" s="57">
        <f>(Lovability_Table[[#This Row],[MUSEUMS]] - AVERAGE(Lovability_Table[MUSEUMS]))/_xlfn.STDEV.S(Lovability_Table[MUSEUMS])</f>
        <v>1.3395176134524314</v>
      </c>
      <c r="I2" s="54">
        <f>(Lovability_Table[[#This Row],[ATTRACTIONS]] - AVERAGE(Lovability_Table[ATTRACTIONS]))/_xlfn.STDEV.S(Lovability_Table[ATTRACTIONS])</f>
        <v>0.45862461606583926</v>
      </c>
      <c r="J2" s="57">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1.0490387371340151</v>
      </c>
    </row>
    <row r="3" spans="1:10" ht="16" x14ac:dyDescent="0.4">
      <c r="A3" s="6" t="s">
        <v>0</v>
      </c>
      <c r="B3" s="7" t="s">
        <v>5</v>
      </c>
      <c r="C3" s="63">
        <f>(Lovability_Table[[#This Row],[NIGHTLIFE]] - AVERAGE(Lovability_Table[NIGHTLIFE]))/_xlfn.STDEV.S(Lovability_Table[NIGHTLIFE])</f>
        <v>1.6766099573779358</v>
      </c>
      <c r="D3" s="63">
        <f>(Lovability_Table[[#This Row],[SHOPPING]] - AVERAGE(Lovability_Table[SHOPPING]))/_xlfn.STDEV.S(Lovability_Table[SHOPPING])</f>
        <v>1.7752198696485582</v>
      </c>
      <c r="E3" s="42">
        <f>(Lovability_Table[[#This Row],[RESTAURANTS]] - AVERAGE(Lovability_Table[RESTAURANTS]))/_xlfn.STDEV.S(Lovability_Table[RESTAURANTS])</f>
        <v>0.88590950256263146</v>
      </c>
      <c r="F3" s="74">
        <f>(Lovability_Table[[#This Row],[CULTURE]] - AVERAGE(Lovability_Table[CULTURE]))/_xlfn.STDEV.S(Lovability_Table[CULTURE])</f>
        <v>2.3017355461912734</v>
      </c>
      <c r="G3" s="63">
        <f>(Lovability_Table[[#This Row],[GOOGLE TRENDS]] - AVERAGE(Lovability_Table[GOOGLE TRENDS]))/_xlfn.STDEV.S(Lovability_Table[GOOGLE TRENDS])</f>
        <v>1.6656679570711264</v>
      </c>
      <c r="H3" s="44">
        <f>(Lovability_Table[[#This Row],[MUSEUMS]] - AVERAGE(Lovability_Table[MUSEUMS]))/_xlfn.STDEV.S(Lovability_Table[MUSEUMS])</f>
        <v>1.6108123199744426</v>
      </c>
      <c r="I3" s="25">
        <f>(Lovability_Table[[#This Row],[ATTRACTIONS]] - AVERAGE(Lovability_Table[ATTRACTIONS]))/_xlfn.STDEV.S(Lovability_Table[ATTRACTIONS])</f>
        <v>-0.45862461606583926</v>
      </c>
      <c r="J3" s="44">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1.3165840692588864</v>
      </c>
    </row>
    <row r="4" spans="1:10" ht="16" x14ac:dyDescent="0.4">
      <c r="A4" s="22" t="s">
        <v>2</v>
      </c>
      <c r="B4" s="23" t="s">
        <v>7</v>
      </c>
      <c r="C4" s="54">
        <f>(Lovability_Table[[#This Row],[NIGHTLIFE]] - AVERAGE(Lovability_Table[NIGHTLIFE]))/_xlfn.STDEV.S(Lovability_Table[NIGHTLIFE])</f>
        <v>0.2026671377050252</v>
      </c>
      <c r="D4" s="54">
        <f>(Lovability_Table[[#This Row],[SHOPPING]] - AVERAGE(Lovability_Table[SHOPPING]))/_xlfn.STDEV.S(Lovability_Table[SHOPPING])</f>
        <v>-2.8178093169024733E-2</v>
      </c>
      <c r="E4" s="72">
        <f>(Lovability_Table[[#This Row],[RESTAURANTS]] - AVERAGE(Lovability_Table[RESTAURANTS]))/_xlfn.STDEV.S(Lovability_Table[RESTAURANTS])</f>
        <v>0.93281317241626904</v>
      </c>
      <c r="F4" s="72">
        <f>(Lovability_Table[[#This Row],[CULTURE]] - AVERAGE(Lovability_Table[CULTURE]))/_xlfn.STDEV.S(Lovability_Table[CULTURE])</f>
        <v>-0.34774421920875354</v>
      </c>
      <c r="G4" s="54">
        <f>(Lovability_Table[[#This Row],[GOOGLE TRENDS]] - AVERAGE(Lovability_Table[GOOGLE TRENDS]))/_xlfn.STDEV.S(Lovability_Table[GOOGLE TRENDS])</f>
        <v>0.124641819916887</v>
      </c>
      <c r="H4" s="57">
        <f>(Lovability_Table[[#This Row],[MUSEUMS]] - AVERAGE(Lovability_Table[MUSEUMS]))/_xlfn.STDEV.S(Lovability_Table[MUSEUMS])</f>
        <v>0.11869143410337998</v>
      </c>
      <c r="I4" s="54">
        <f>(Lovability_Table[[#This Row],[ATTRACTIONS]] - AVERAGE(Lovability_Table[ATTRACTIONS]))/_xlfn.STDEV.S(Lovability_Table[ATTRACTIONS])</f>
        <v>-9.1724923213167858E-2</v>
      </c>
      <c r="J4" s="57">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0.13118661732688239</v>
      </c>
    </row>
    <row r="5" spans="1:10" ht="16" x14ac:dyDescent="0.4">
      <c r="A5" s="6" t="s">
        <v>3</v>
      </c>
      <c r="B5" s="7" t="s">
        <v>8</v>
      </c>
      <c r="C5" s="25">
        <f>(Lovability_Table[[#This Row],[NIGHTLIFE]] - AVERAGE(Lovability_Table[NIGHTLIFE]))/_xlfn.STDEV.S(Lovability_Table[NIGHTLIFE])</f>
        <v>-0.65713284043750597</v>
      </c>
      <c r="D5" s="25">
        <f>(Lovability_Table[[#This Row],[SHOPPING]] - AVERAGE(Lovability_Table[SHOPPING]))/_xlfn.STDEV.S(Lovability_Table[SHOPPING])</f>
        <v>-0.66346601188885512</v>
      </c>
      <c r="E5" s="42">
        <f>(Lovability_Table[[#This Row],[RESTAURANTS]] - AVERAGE(Lovability_Table[RESTAURANTS]))/_xlfn.STDEV.S(Lovability_Table[RESTAURANTS])</f>
        <v>-0.22925812461170522</v>
      </c>
      <c r="F5" s="42">
        <f>(Lovability_Table[[#This Row],[CULTURE]] - AVERAGE(Lovability_Table[CULTURE]))/_xlfn.STDEV.S(Lovability_Table[CULTURE])</f>
        <v>-0.41398121334375421</v>
      </c>
      <c r="G5" s="25">
        <f>(Lovability_Table[[#This Row],[GOOGLE TRENDS]] - AVERAGE(Lovability_Table[GOOGLE TRENDS]))/_xlfn.STDEV.S(Lovability_Table[GOOGLE TRENDS])</f>
        <v>7.9317521765291735E-2</v>
      </c>
      <c r="H5" s="44">
        <f>(Lovability_Table[[#This Row],[MUSEUMS]] - AVERAGE(Lovability_Table[MUSEUMS]))/_xlfn.STDEV.S(Lovability_Table[MUSEUMS])</f>
        <v>-0.74040846988298947</v>
      </c>
      <c r="I5" s="25">
        <f>(Lovability_Table[[#This Row],[ATTRACTIONS]] - AVERAGE(Lovability_Table[ATTRACTIONS]))/_xlfn.STDEV.S(Lovability_Table[ATTRACTIONS])</f>
        <v>-0.64207446249217492</v>
      </c>
      <c r="J5" s="44">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-0.48305511925560901</v>
      </c>
    </row>
    <row r="6" spans="1:10" ht="16" x14ac:dyDescent="0.4">
      <c r="A6" s="22" t="s">
        <v>4</v>
      </c>
      <c r="B6" s="23" t="s">
        <v>9</v>
      </c>
      <c r="C6" s="54">
        <f>(Lovability_Table[[#This Row],[NIGHTLIFE]] - AVERAGE(Lovability_Table[NIGHTLIFE]))/_xlfn.STDEV.S(Lovability_Table[NIGHTLIFE])</f>
        <v>-0.36234427650292383</v>
      </c>
      <c r="D6" s="54">
        <f>(Lovability_Table[[#This Row],[SHOPPING]] - AVERAGE(Lovability_Table[SHOPPING]))/_xlfn.STDEV.S(Lovability_Table[SHOPPING])</f>
        <v>-0.45853442520503884</v>
      </c>
      <c r="E6" s="72">
        <f>(Lovability_Table[[#This Row],[RESTAURANTS]] - AVERAGE(Lovability_Table[RESTAURANTS]))/_xlfn.STDEV.S(Lovability_Table[RESTAURANTS])</f>
        <v>-0.67725392452215016</v>
      </c>
      <c r="F6" s="72">
        <f>(Lovability_Table[[#This Row],[CULTURE]] - AVERAGE(Lovability_Table[CULTURE]))/_xlfn.STDEV.S(Lovability_Table[CULTURE])</f>
        <v>-1.6559248533750168E-2</v>
      </c>
      <c r="G6" s="54">
        <f>(Lovability_Table[[#This Row],[GOOGLE TRENDS]] - AVERAGE(Lovability_Table[GOOGLE TRENDS]))/_xlfn.STDEV.S(Lovability_Table[GOOGLE TRENDS])</f>
        <v>-0.46457405605385155</v>
      </c>
      <c r="H6" s="57">
        <f>(Lovability_Table[[#This Row],[MUSEUMS]] - AVERAGE(Lovability_Table[MUSEUMS]))/_xlfn.STDEV.S(Lovability_Table[MUSEUMS])</f>
        <v>-0.33346641009997235</v>
      </c>
      <c r="I6" s="54">
        <f>(Lovability_Table[[#This Row],[ATTRACTIONS]] - AVERAGE(Lovability_Table[ATTRACTIONS]))/_xlfn.STDEV.S(Lovability_Table[ATTRACTIONS])</f>
        <v>-0.64207446249217492</v>
      </c>
      <c r="J6" s="57">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-0.42488666057634844</v>
      </c>
    </row>
    <row r="7" spans="1:10" ht="16" x14ac:dyDescent="0.4">
      <c r="A7" s="6" t="s">
        <v>10</v>
      </c>
      <c r="B7" s="7" t="s">
        <v>11</v>
      </c>
      <c r="C7" s="25">
        <f>(Lovability_Table[[#This Row],[NIGHTLIFE]] - AVERAGE(Lovability_Table[NIGHTLIFE]))/_xlfn.STDEV.S(Lovability_Table[NIGHTLIFE])</f>
        <v>-0.36234427650292383</v>
      </c>
      <c r="D7" s="25">
        <f>(Lovability_Table[[#This Row],[SHOPPING]] - AVERAGE(Lovability_Table[SHOPPING]))/_xlfn.STDEV.S(Lovability_Table[SHOPPING])</f>
        <v>-0.23310967985284098</v>
      </c>
      <c r="E7" s="42">
        <f>(Lovability_Table[[#This Row],[RESTAURANTS]] - AVERAGE(Lovability_Table[RESTAURANTS]))/_xlfn.STDEV.S(Lovability_Table[RESTAURANTS])</f>
        <v>-0.31692853555308387</v>
      </c>
      <c r="F7" s="42">
        <f>(Lovability_Table[[#This Row],[CULTURE]] - AVERAGE(Lovability_Table[CULTURE]))/_xlfn.STDEV.S(Lovability_Table[CULTURE])</f>
        <v>-0.28150722507375286</v>
      </c>
      <c r="G7" s="25">
        <f>(Lovability_Table[[#This Row],[GOOGLE TRENDS]] - AVERAGE(Lovability_Table[GOOGLE TRENDS]))/_xlfn.STDEV.S(Lovability_Table[GOOGLE TRENDS])</f>
        <v>-0.78184414311501849</v>
      </c>
      <c r="H7" s="44">
        <f>(Lovability_Table[[#This Row],[MUSEUMS]] - AVERAGE(Lovability_Table[MUSEUMS]))/_xlfn.STDEV.S(Lovability_Table[MUSEUMS])</f>
        <v>-0.78562425430332472</v>
      </c>
      <c r="I7" s="63">
        <f>(Lovability_Table[[#This Row],[ATTRACTIONS]] - AVERAGE(Lovability_Table[ATTRACTIONS]))/_xlfn.STDEV.S(Lovability_Table[ATTRACTIONS])</f>
        <v>2.2931230803291962</v>
      </c>
      <c r="J7" s="44">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1.9130498393620798E-2</v>
      </c>
    </row>
    <row r="8" spans="1:10" ht="16" x14ac:dyDescent="0.4">
      <c r="A8" s="22" t="s">
        <v>14</v>
      </c>
      <c r="B8" s="23" t="s">
        <v>15</v>
      </c>
      <c r="C8" s="54">
        <f>(Lovability_Table[[#This Row],[NIGHTLIFE]] - AVERAGE(Lovability_Table[NIGHTLIFE]))/_xlfn.STDEV.S(Lovability_Table[NIGHTLIFE])</f>
        <v>-0.87822426338844251</v>
      </c>
      <c r="D8" s="54">
        <f>(Lovability_Table[[#This Row],[SHOPPING]] - AVERAGE(Lovability_Table[SHOPPING]))/_xlfn.STDEV.S(Lovability_Table[SHOPPING])</f>
        <v>-0.62247969455209184</v>
      </c>
      <c r="E8" s="72">
        <f>(Lovability_Table[[#This Row],[RESTAURANTS]] - AVERAGE(Lovability_Table[RESTAURANTS]))/_xlfn.STDEV.S(Lovability_Table[RESTAURANTS])</f>
        <v>-0.89379983954735553</v>
      </c>
      <c r="F8" s="72">
        <f>(Lovability_Table[[#This Row],[CULTURE]] - AVERAGE(Lovability_Table[CULTURE]))/_xlfn.STDEV.S(Lovability_Table[CULTURE])</f>
        <v>-0.67892918988375695</v>
      </c>
      <c r="G8" s="54">
        <f>(Lovability_Table[[#This Row],[GOOGLE TRENDS]] - AVERAGE(Lovability_Table[GOOGLE TRENDS]))/_xlfn.STDEV.S(Lovability_Table[GOOGLE TRENDS])</f>
        <v>-0.82716844126661371</v>
      </c>
      <c r="H8" s="57">
        <f>(Lovability_Table[[#This Row],[MUSEUMS]] - AVERAGE(Lovability_Table[MUSEUMS]))/_xlfn.STDEV.S(Lovability_Table[MUSEUMS])</f>
        <v>-6.2171703577960945E-2</v>
      </c>
      <c r="I8" s="54">
        <f>(Lovability_Table[[#This Row],[ATTRACTIONS]] - AVERAGE(Lovability_Table[ATTRACTIONS]))/_xlfn.STDEV.S(Lovability_Table[ATTRACTIONS])</f>
        <v>-0.27517476963950355</v>
      </c>
      <c r="J8" s="57">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-0.62471125560624163</v>
      </c>
    </row>
    <row r="9" spans="1:10" ht="16" x14ac:dyDescent="0.4">
      <c r="A9" s="9" t="s">
        <v>12</v>
      </c>
      <c r="B9" s="10" t="s">
        <v>13</v>
      </c>
      <c r="C9" s="30">
        <f>(Lovability_Table[[#This Row],[NIGHTLIFE]] - AVERAGE(Lovability_Table[NIGHTLIFE]))/_xlfn.STDEV.S(Lovability_Table[NIGHTLIFE])</f>
        <v>-0.95192140437208805</v>
      </c>
      <c r="D9" s="30">
        <f>(Lovability_Table[[#This Row],[SHOPPING]] - AVERAGE(Lovability_Table[SHOPPING]))/_xlfn.STDEV.S(Lovability_Table[SHOPPING])</f>
        <v>-1.052836026588106</v>
      </c>
      <c r="E9" s="43">
        <f>(Lovability_Table[[#This Row],[RESTAURANTS]] - AVERAGE(Lovability_Table[RESTAURANTS]))/_xlfn.STDEV.S(Lovability_Table[RESTAURANTS])</f>
        <v>-1.2453581874222839</v>
      </c>
      <c r="F9" s="43">
        <f>(Lovability_Table[[#This Row],[CULTURE]] - AVERAGE(Lovability_Table[CULTURE]))/_xlfn.STDEV.S(Lovability_Table[CULTURE])</f>
        <v>-0.8776401722887589</v>
      </c>
      <c r="G9" s="30">
        <f>(Lovability_Table[[#This Row],[GOOGLE TRENDS]] - AVERAGE(Lovability_Table[GOOGLE TRENDS]))/_xlfn.STDEV.S(Lovability_Table[GOOGLE TRENDS])</f>
        <v>-1.05378993202459</v>
      </c>
      <c r="H9" s="45">
        <f>(Lovability_Table[[#This Row],[MUSEUMS]] - AVERAGE(Lovability_Table[MUSEUMS]))/_xlfn.STDEV.S(Lovability_Table[MUSEUMS])</f>
        <v>-1.1473505296660065</v>
      </c>
      <c r="I9" s="30">
        <f>(Lovability_Table[[#This Row],[ATTRACTIONS]] - AVERAGE(Lovability_Table[ATTRACTIONS]))/_xlfn.STDEV.S(Lovability_Table[ATTRACTIONS])</f>
        <v>-0.64207446249217492</v>
      </c>
      <c r="J9" s="45">
        <f>(0.16 *Lovability_Z_Score_Table[[#This Row],[NIGHTLIFE Z-SCORE]]) + (0.16 * Lovability_Z_Score_Table[[#This Row],[SHOPPING Z-SCORE]]) + (0.16 * Lovability_Z_Score_Table[[#This Row],[RESTAURANTS Z-SCORE]]) + (0.16 * Lovability_Z_Score_Table[[#This Row],[CULTURE Z-SCORE]]) + (0.1 * Lovability_Z_Score_Table[[#This Row],[GOOGLE TRENDS Z-SCORE]]) + (0.1 *Lovability_Z_Score_Table[[#This Row],[MUSEUMS Z-SCORE]]) + (0.16 *Lovability_Z_Score_Table[[#This Row],[ATTRACTIONS Z-SCORE]])</f>
        <v>-0.98328688667520558</v>
      </c>
    </row>
    <row r="11" spans="1:10" ht="30" x14ac:dyDescent="0.45">
      <c r="A11" s="37" t="s">
        <v>76</v>
      </c>
      <c r="C11" s="15" t="s">
        <v>184</v>
      </c>
      <c r="D11" s="15" t="s">
        <v>190</v>
      </c>
      <c r="E11" s="17" t="s">
        <v>135</v>
      </c>
      <c r="F11" s="17" t="s">
        <v>185</v>
      </c>
      <c r="G11" s="15" t="s">
        <v>186</v>
      </c>
      <c r="H11" s="15" t="s">
        <v>187</v>
      </c>
      <c r="I11" s="15" t="s">
        <v>188</v>
      </c>
    </row>
    <row r="13" spans="1:10" ht="18.5" x14ac:dyDescent="0.45">
      <c r="A13" s="60" t="s">
        <v>166</v>
      </c>
      <c r="C13" s="59">
        <v>0.16</v>
      </c>
      <c r="D13" s="59">
        <v>0.16</v>
      </c>
      <c r="E13" s="59">
        <v>0.16</v>
      </c>
      <c r="F13" s="59">
        <v>0.16</v>
      </c>
      <c r="G13" s="59">
        <v>0.1</v>
      </c>
      <c r="H13" s="59">
        <v>0.1</v>
      </c>
      <c r="I13" s="59">
        <v>0.16</v>
      </c>
      <c r="J13" s="59">
        <v>1</v>
      </c>
    </row>
    <row r="15" spans="1:10" ht="88" x14ac:dyDescent="0.45">
      <c r="A15" s="38" t="s">
        <v>78</v>
      </c>
      <c r="C15" s="15" t="s">
        <v>189</v>
      </c>
      <c r="E15" s="15" t="s">
        <v>191</v>
      </c>
      <c r="F15" s="15" t="s">
        <v>192</v>
      </c>
      <c r="G15" s="15" t="s">
        <v>193</v>
      </c>
      <c r="I15" s="15" t="s">
        <v>194</v>
      </c>
      <c r="J15" s="15" t="s">
        <v>195</v>
      </c>
    </row>
  </sheetData>
  <conditionalFormatting sqref="C2:C9">
    <cfRule type="aboveAverage" dxfId="41" priority="15" aboveAverage="0"/>
    <cfRule type="aboveAverage" dxfId="40" priority="16"/>
  </conditionalFormatting>
  <conditionalFormatting sqref="D2:D9">
    <cfRule type="aboveAverage" dxfId="39" priority="13" aboveAverage="0"/>
    <cfRule type="aboveAverage" dxfId="38" priority="14"/>
  </conditionalFormatting>
  <conditionalFormatting sqref="E2:E9">
    <cfRule type="aboveAverage" dxfId="37" priority="11" aboveAverage="0"/>
    <cfRule type="aboveAverage" dxfId="36" priority="12"/>
  </conditionalFormatting>
  <conditionalFormatting sqref="F2:F9">
    <cfRule type="aboveAverage" dxfId="35" priority="9" aboveAverage="0"/>
    <cfRule type="aboveAverage" dxfId="34" priority="10"/>
  </conditionalFormatting>
  <conditionalFormatting sqref="G2:G9">
    <cfRule type="aboveAverage" dxfId="33" priority="7" aboveAverage="0"/>
    <cfRule type="aboveAverage" dxfId="32" priority="8"/>
  </conditionalFormatting>
  <conditionalFormatting sqref="H2:H9">
    <cfRule type="aboveAverage" dxfId="31" priority="5" aboveAverage="0"/>
    <cfRule type="aboveAverage" dxfId="30" priority="6"/>
  </conditionalFormatting>
  <conditionalFormatting sqref="I2:I9">
    <cfRule type="aboveAverage" dxfId="29" priority="3" aboveAverage="0"/>
    <cfRule type="aboveAverage" dxfId="28" priority="4"/>
  </conditionalFormatting>
  <conditionalFormatting sqref="J2:J9">
    <cfRule type="aboveAverage" dxfId="27" priority="1" aboveAverage="0"/>
    <cfRule type="aboveAverage" dxfId="26" priority="2"/>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6454-0CA1-4747-9BBF-785F591409CE}">
  <dimension ref="A1:M15"/>
  <sheetViews>
    <sheetView zoomScale="80" zoomScaleNormal="80" workbookViewId="0">
      <pane xSplit="2" topLeftCell="C1" activePane="topRight" state="frozen"/>
      <selection pane="topRight" activeCell="E13" sqref="E13"/>
    </sheetView>
  </sheetViews>
  <sheetFormatPr defaultRowHeight="14.5" x14ac:dyDescent="0.35"/>
  <cols>
    <col min="1" max="1" width="21.453125" bestFit="1" customWidth="1"/>
    <col min="2" max="2" width="14.54296875" customWidth="1"/>
    <col min="3" max="3" width="47.1796875" customWidth="1"/>
    <col min="4" max="4" width="38.54296875" customWidth="1"/>
    <col min="5" max="5" width="33.81640625" customWidth="1"/>
    <col min="6" max="6" width="39.1796875" customWidth="1"/>
    <col min="7" max="7" width="36.81640625" customWidth="1"/>
    <col min="8" max="8" width="37.1796875" customWidth="1"/>
    <col min="9" max="9" width="43.1796875" customWidth="1"/>
    <col min="10" max="10" width="37.54296875" customWidth="1"/>
    <col min="11" max="11" width="37.453125" customWidth="1"/>
    <col min="12" max="12" width="31" customWidth="1"/>
    <col min="13" max="13" width="26.453125" customWidth="1"/>
  </cols>
  <sheetData>
    <row r="1" spans="1:13" ht="18.5" x14ac:dyDescent="0.45">
      <c r="A1" s="18" t="s">
        <v>33</v>
      </c>
      <c r="B1" s="19" t="s">
        <v>34</v>
      </c>
      <c r="C1" s="67" t="s">
        <v>111</v>
      </c>
      <c r="D1" s="67" t="s">
        <v>114</v>
      </c>
      <c r="E1" s="67" t="s">
        <v>112</v>
      </c>
      <c r="F1" s="67" t="s">
        <v>116</v>
      </c>
      <c r="G1" s="67" t="s">
        <v>118</v>
      </c>
      <c r="H1" s="67" t="s">
        <v>121</v>
      </c>
      <c r="I1" s="67" t="s">
        <v>122</v>
      </c>
      <c r="J1" s="67" t="s">
        <v>123</v>
      </c>
      <c r="K1" s="69" t="s">
        <v>127</v>
      </c>
      <c r="L1" s="67" t="s">
        <v>128</v>
      </c>
      <c r="M1" s="69" t="s">
        <v>207</v>
      </c>
    </row>
    <row r="2" spans="1:13" ht="16" x14ac:dyDescent="0.4">
      <c r="A2" s="22" t="s">
        <v>1</v>
      </c>
      <c r="B2" s="23" t="s">
        <v>6</v>
      </c>
      <c r="C2" s="76">
        <f>(Prosperity_Table[[#This Row],[LABOUR FORCE PARTICIPATION]] - AVERAGE(Prosperity_Table[LABOUR FORCE PARTICIPATION]))/_xlfn.STDEV.S(Prosperity_Table[LABOUR FORCE PARTICIPATION])</f>
        <v>0.30017425885609711</v>
      </c>
      <c r="D2" s="77">
        <f>(Prosperity_Table[[#This Row],[LABOUR PRODUCTIVITY]]-AVERAGE(Prosperity_Table[LABOUR PRODUCTIVITY]))/_xlfn.STDEV.S(Prosperity_Table[LABOUR PRODUCTIVITY])</f>
        <v>0.83419010418066009</v>
      </c>
      <c r="E2" s="54">
        <f>(Prosperity_Table[[#This Row],[LARGE COMPANIES]] - AVERAGE(Prosperity_Table[LARGE COMPANIES]))/_xlfn.STDEV.S(Prosperity_Table[LARGE COMPANIES])</f>
        <v>1.0833486687664422</v>
      </c>
      <c r="F2" s="54">
        <f>(Prosperity_Table[[#This Row],[AIRPORT CONNECTIVITY]] - AVERAGE(Prosperity_Table[AIRPORT CONNECTIVITY]))/_xlfn.STDEV.S(Prosperity_Table[AIRPORT CONNECTIVITY])</f>
        <v>0.74946950333317208</v>
      </c>
      <c r="G2" s="61">
        <f>(Prosperity_Table[[#This Row],[CONVENTION CENTRE]] - AVERAGE(Prosperity_Table[CONVENTION CENTRE]))/_xlfn.STDEV.S(Prosperity_Table[CONVENTION CENTRE])</f>
        <v>2.1547517808318246</v>
      </c>
      <c r="H2" s="76">
        <f>-1 * (Prosperity_Table[[#This Row],[UNIVERSITY]] - AVERAGE(Prosperity_Table[UNIVERSITY])) / _xlfn.STDEV.S(Prosperity_Table[UNIVERSITY])</f>
        <v>0.79850619920862009</v>
      </c>
      <c r="I2" s="76">
        <f>(Prosperity_Table[[#This Row],[EDUCATIONAL ATTAINMENT]] - AVERAGE(Prosperity_Table[EDUCATIONAL ATTAINMENT]))/_xlfn.STDEV.S(Prosperity_Table[EDUCATIONAL ATTAINMENT])</f>
        <v>1.1573606015238691</v>
      </c>
      <c r="J2" s="54">
        <f>(Prosperity_Table[[#This Row],[BUSINESS ECOSYSTEM]] - AVERAGE(Prosperity_Table[BUSINESS ECOSYSTEM]))/_xlfn.STDEV.S(Prosperity_Table[BUSINESS ECOSYSTEM])</f>
        <v>1.1039009636161761</v>
      </c>
      <c r="K2" s="79">
        <f xml:space="preserve"> -1 * (Prosperity_Table[[#This Row],[UNEMPLOYMENT RATE]] - AVERAGE(Prosperity_Table[UNEMPLOYMENT RATE]))/_xlfn.STDEV.S(Prosperity_Table[UNEMPLOYMENT RATE])</f>
        <v>-1.1768913544050117</v>
      </c>
      <c r="L2" s="76">
        <f xml:space="preserve"> -1 * (Prosperity_Table[[#This Row],[HOMELESSNESS RATE]] - AVERAGE(Prosperity_Table[HOMELESSNESS RATE]))/_xlfn.STDEV.S(Prosperity_Table[HOMELESSNESS RATE])</f>
        <v>0.26274616993894012</v>
      </c>
      <c r="M2" s="79">
        <f>(0.08 * C2) + (0.12 * D2) + (0.15 * E2) + (0.1 * F2) + (0.05 * G2) + (0.12 * H2) + (0.1 * I2) + (0.15 * J2) + (0.08 * K2) + (0.05 * L2)</f>
        <v>0.76543154164443561</v>
      </c>
    </row>
    <row r="3" spans="1:13" ht="16" x14ac:dyDescent="0.4">
      <c r="A3" s="6" t="s">
        <v>0</v>
      </c>
      <c r="B3" s="7" t="s">
        <v>5</v>
      </c>
      <c r="C3" s="25">
        <f>(Prosperity_Table[[#This Row],[LABOUR FORCE PARTICIPATION]] - AVERAGE(Prosperity_Table[LABOUR FORCE PARTICIPATION]))/_xlfn.STDEV.S(Prosperity_Table[LABOUR FORCE PARTICIPATION])</f>
        <v>-3.7521782357007975E-2</v>
      </c>
      <c r="D3" s="78">
        <f>(Prosperity_Table[[#This Row],[LABOUR PRODUCTIVITY]]-AVERAGE(Prosperity_Table[LABOUR PRODUCTIVITY]))/_xlfn.STDEV.S(Prosperity_Table[LABOUR PRODUCTIVITY])</f>
        <v>0.49019418493090339</v>
      </c>
      <c r="E3" s="63">
        <f>(Prosperity_Table[[#This Row],[LARGE COMPANIES]] - AVERAGE(Prosperity_Table[LARGE COMPANIES]))/_xlfn.STDEV.S(Prosperity_Table[LARGE COMPANIES])</f>
        <v>1.8304856817088162</v>
      </c>
      <c r="F3" s="63">
        <f>(Prosperity_Table[[#This Row],[AIRPORT CONNECTIVITY]] - AVERAGE(Prosperity_Table[AIRPORT CONNECTIVITY]))/_xlfn.STDEV.S(Prosperity_Table[AIRPORT CONNECTIVITY])</f>
        <v>1.5548695666165808</v>
      </c>
      <c r="G3" s="42">
        <f>(Prosperity_Table[[#This Row],[CONVENTION CENTRE]] - AVERAGE(Prosperity_Table[CONVENTION CENTRE]))/_xlfn.STDEV.S(Prosperity_Table[CONVENTION CENTRE])</f>
        <v>0.60102089867294495</v>
      </c>
      <c r="H3" s="25">
        <f>-1 * (Prosperity_Table[[#This Row],[UNIVERSITY]] - AVERAGE(Prosperity_Table[UNIVERSITY])) / _xlfn.STDEV.S(Prosperity_Table[UNIVERSITY])</f>
        <v>0.7936261002065812</v>
      </c>
      <c r="I3" s="25">
        <f>(Prosperity_Table[[#This Row],[EDUCATIONAL ATTAINMENT]] - AVERAGE(Prosperity_Table[EDUCATIONAL ATTAINMENT]))/_xlfn.STDEV.S(Prosperity_Table[EDUCATIONAL ATTAINMENT])</f>
        <v>1.1703100907716886</v>
      </c>
      <c r="J3" s="63">
        <f>(Prosperity_Table[[#This Row],[BUSINESS ECOSYSTEM]] - AVERAGE(Prosperity_Table[BUSINESS ECOSYSTEM]))/_xlfn.STDEV.S(Prosperity_Table[BUSINESS ECOSYSTEM])</f>
        <v>1.9795898163015062</v>
      </c>
      <c r="K3" s="80">
        <f xml:space="preserve"> -1 * (Prosperity_Table[[#This Row],[UNEMPLOYMENT RATE]] - AVERAGE(Prosperity_Table[UNEMPLOYMENT RATE]))/_xlfn.STDEV.S(Prosperity_Table[UNEMPLOYMENT RATE])</f>
        <v>-0.66333876339191566</v>
      </c>
      <c r="L3" s="25">
        <f xml:space="preserve"> -1 * (Prosperity_Table[[#This Row],[HOMELESSNESS RATE]] - AVERAGE(Prosperity_Table[HOMELESSNESS RATE]))/_xlfn.STDEV.S(Prosperity_Table[HOMELESSNESS RATE])</f>
        <v>0.46036722083318565</v>
      </c>
      <c r="M3" s="79">
        <f t="shared" ref="M3:M9" si="0">(0.08 * C3) + (0.12 * D3) + (0.15 * E3) + (0.1 * F3) + (0.05 * G3) + (0.12 * H3) + (0.1 * I3) + (0.15 * J3) + (0.08 * K3) + (0.05 * L3)</f>
        <v>0.99508828697226626</v>
      </c>
    </row>
    <row r="4" spans="1:13" ht="16" x14ac:dyDescent="0.4">
      <c r="A4" s="22" t="s">
        <v>2</v>
      </c>
      <c r="B4" s="23" t="s">
        <v>7</v>
      </c>
      <c r="C4" s="54">
        <f>(Prosperity_Table[[#This Row],[LABOUR FORCE PARTICIPATION]] - AVERAGE(Prosperity_Table[LABOUR FORCE PARTICIPATION]))/_xlfn.STDEV.S(Prosperity_Table[LABOUR FORCE PARTICIPATION])</f>
        <v>0.41273960592713355</v>
      </c>
      <c r="D4" s="77">
        <f>(Prosperity_Table[[#This Row],[LABOUR PRODUCTIVITY]]-AVERAGE(Prosperity_Table[LABOUR PRODUCTIVITY]))/_xlfn.STDEV.S(Prosperity_Table[LABOUR PRODUCTIVITY])</f>
        <v>-0.95458867591807495</v>
      </c>
      <c r="E4" s="54">
        <f>(Prosperity_Table[[#This Row],[LARGE COMPANIES]] - AVERAGE(Prosperity_Table[LARGE COMPANIES]))/_xlfn.STDEV.S(Prosperity_Table[LARGE COMPANIES])</f>
        <v>0.33621165582406826</v>
      </c>
      <c r="F4" s="54">
        <f>(Prosperity_Table[[#This Row],[AIRPORT CONNECTIVITY]] - AVERAGE(Prosperity_Table[AIRPORT CONNECTIVITY]))/_xlfn.STDEV.S(Prosperity_Table[AIRPORT CONNECTIVITY])</f>
        <v>0.95827692714738921</v>
      </c>
      <c r="G4" s="72">
        <f>(Prosperity_Table[[#This Row],[CONVENTION CENTRE]] - AVERAGE(Prosperity_Table[CONVENTION CENTRE]))/_xlfn.STDEV.S(Prosperity_Table[CONVENTION CENTRE])</f>
        <v>-7.0862726044408353E-2</v>
      </c>
      <c r="H4" s="54">
        <f>-1 * (Prosperity_Table[[#This Row],[UNIVERSITY]] - AVERAGE(Prosperity_Table[UNIVERSITY])) / _xlfn.STDEV.S(Prosperity_Table[UNIVERSITY])</f>
        <v>0.68626392216172472</v>
      </c>
      <c r="I4" s="54">
        <f>(Prosperity_Table[[#This Row],[EDUCATIONAL ATTAINMENT]] - AVERAGE(Prosperity_Table[EDUCATIONAL ATTAINMENT]))/_xlfn.STDEV.S(Prosperity_Table[EDUCATIONAL ATTAINMENT])</f>
        <v>-0.5519719791883072</v>
      </c>
      <c r="J4" s="54">
        <f>(Prosperity_Table[[#This Row],[BUSINESS ECOSYSTEM]] - AVERAGE(Prosperity_Table[BUSINESS ECOSYSTEM]))/_xlfn.STDEV.S(Prosperity_Table[BUSINESS ECOSYSTEM])</f>
        <v>-6.7942492673232005E-2</v>
      </c>
      <c r="K4" s="79">
        <f xml:space="preserve"> -1 * (Prosperity_Table[[#This Row],[UNEMPLOYMENT RATE]] - AVERAGE(Prosperity_Table[UNEMPLOYMENT RATE]))/_xlfn.STDEV.S(Prosperity_Table[UNEMPLOYMENT RATE])</f>
        <v>2.1398024625544479E-2</v>
      </c>
      <c r="L4" s="54">
        <f xml:space="preserve"> -1 * (Prosperity_Table[[#This Row],[HOMELESSNESS RATE]] - AVERAGE(Prosperity_Table[HOMELESSNESS RATE]))/_xlfn.STDEV.S(Prosperity_Table[HOMELESSNESS RATE])</f>
        <v>0.58612607140225104</v>
      </c>
      <c r="M4" s="79">
        <f t="shared" si="0"/>
        <v>0.10916607652987798</v>
      </c>
    </row>
    <row r="5" spans="1:13" ht="16" x14ac:dyDescent="0.4">
      <c r="A5" s="6" t="s">
        <v>3</v>
      </c>
      <c r="B5" s="7" t="s">
        <v>8</v>
      </c>
      <c r="C5" s="25">
        <f>(Prosperity_Table[[#This Row],[LABOUR FORCE PARTICIPATION]] - AVERAGE(Prosperity_Table[LABOUR FORCE PARTICIPATION]))/_xlfn.STDEV.S(Prosperity_Table[LABOUR FORCE PARTICIPATION])</f>
        <v>7.5043564714024277E-2</v>
      </c>
      <c r="D5" s="78">
        <f>(Prosperity_Table[[#This Row],[LABOUR PRODUCTIVITY]]-AVERAGE(Prosperity_Table[LABOUR PRODUCTIVITY]))/_xlfn.STDEV.S(Prosperity_Table[LABOUR PRODUCTIVITY])</f>
        <v>1.1781860234304169</v>
      </c>
      <c r="E5" s="25">
        <f>(Prosperity_Table[[#This Row],[LARGE COMPANIES]] - AVERAGE(Prosperity_Table[LARGE COMPANIES]))/_xlfn.STDEV.S(Prosperity_Table[LARGE COMPANIES])</f>
        <v>-0.26149795452983088</v>
      </c>
      <c r="F5" s="25">
        <f>(Prosperity_Table[[#This Row],[AIRPORT CONNECTIVITY]] - AVERAGE(Prosperity_Table[AIRPORT CONNECTIVITY]))/_xlfn.STDEV.S(Prosperity_Table[AIRPORT CONNECTIVITY])</f>
        <v>6.3387967943601617E-2</v>
      </c>
      <c r="G5" s="42">
        <f>(Prosperity_Table[[#This Row],[CONVENTION CENTRE]] - AVERAGE(Prosperity_Table[CONVENTION CENTRE]))/_xlfn.STDEV.S(Prosperity_Table[CONVENTION CENTRE])</f>
        <v>-0.24723217753271359</v>
      </c>
      <c r="H5" s="25">
        <f>-1 * (Prosperity_Table[[#This Row],[UNIVERSITY]] - AVERAGE(Prosperity_Table[UNIVERSITY])) / _xlfn.STDEV.S(Prosperity_Table[UNIVERSITY])</f>
        <v>0.51546045709036203</v>
      </c>
      <c r="I5" s="25">
        <f>(Prosperity_Table[[#This Row],[EDUCATIONAL ATTAINMENT]] - AVERAGE(Prosperity_Table[EDUCATIONAL ATTAINMENT]))/_xlfn.STDEV.S(Prosperity_Table[EDUCATIONAL ATTAINMENT])</f>
        <v>0.69117898860236604</v>
      </c>
      <c r="J5" s="25">
        <f>(Prosperity_Table[[#This Row],[BUSINESS ECOSYSTEM]] - AVERAGE(Prosperity_Table[BUSINESS ECOSYSTEM]))/_xlfn.STDEV.S(Prosperity_Table[BUSINESS ECOSYSTEM])</f>
        <v>-0.47648220088019788</v>
      </c>
      <c r="K5" s="80">
        <f xml:space="preserve"> -1 * (Prosperity_Table[[#This Row],[UNEMPLOYMENT RATE]] - AVERAGE(Prosperity_Table[UNEMPLOYMENT RATE]))/_xlfn.STDEV.S(Prosperity_Table[UNEMPLOYMENT RATE])</f>
        <v>-0.66333876339191566</v>
      </c>
      <c r="L5" s="25">
        <f xml:space="preserve"> -1 * (Prosperity_Table[[#This Row],[HOMELESSNESS RATE]] - AVERAGE(Prosperity_Table[HOMELESSNESS RATE]))/_xlfn.STDEV.S(Prosperity_Table[HOMELESSNESS RATE])</f>
        <v>-2.2883619416049577</v>
      </c>
      <c r="M5" s="79">
        <f t="shared" si="0"/>
        <v>-5.8460718455289606E-3</v>
      </c>
    </row>
    <row r="6" spans="1:13" ht="16" x14ac:dyDescent="0.4">
      <c r="A6" s="22" t="s">
        <v>4</v>
      </c>
      <c r="B6" s="23" t="s">
        <v>9</v>
      </c>
      <c r="C6" s="54">
        <f>(Prosperity_Table[[#This Row],[LABOUR FORCE PARTICIPATION]] - AVERAGE(Prosperity_Table[LABOUR FORCE PARTICIPATION]))/_xlfn.STDEV.S(Prosperity_Table[LABOUR FORCE PARTICIPATION])</f>
        <v>-0.93804455892529937</v>
      </c>
      <c r="D6" s="77">
        <f>(Prosperity_Table[[#This Row],[LABOUR PRODUCTIVITY]]-AVERAGE(Prosperity_Table[LABOUR PRODUCTIVITY]))/_xlfn.STDEV.S(Prosperity_Table[LABOUR PRODUCTIVITY])</f>
        <v>-0.54179357281836693</v>
      </c>
      <c r="E6" s="54">
        <f>(Prosperity_Table[[#This Row],[LARGE COMPANIES]] - AVERAGE(Prosperity_Table[LARGE COMPANIES]))/_xlfn.STDEV.S(Prosperity_Table[LARGE COMPANIES])</f>
        <v>-0.56035275970678045</v>
      </c>
      <c r="F6" s="54">
        <f>(Prosperity_Table[[#This Row],[AIRPORT CONNECTIVITY]] - AVERAGE(Prosperity_Table[AIRPORT CONNECTIVITY]))/_xlfn.STDEV.S(Prosperity_Table[AIRPORT CONNECTIVITY])</f>
        <v>-0.35422687968483257</v>
      </c>
      <c r="G6" s="72">
        <f>(Prosperity_Table[[#This Row],[CONVENTION CENTRE]] - AVERAGE(Prosperity_Table[CONVENTION CENTRE]))/_xlfn.STDEV.S(Prosperity_Table[CONVENTION CENTRE])</f>
        <v>-9.185908931682564E-2</v>
      </c>
      <c r="H6" s="54">
        <f>-1 * (Prosperity_Table[[#This Row],[UNIVERSITY]] - AVERAGE(Prosperity_Table[UNIVERSITY])) / _xlfn.STDEV.S(Prosperity_Table[UNIVERSITY])</f>
        <v>0.49105996208016744</v>
      </c>
      <c r="I6" s="54">
        <f>(Prosperity_Table[[#This Row],[EDUCATIONAL ATTAINMENT]] - AVERAGE(Prosperity_Table[EDUCATIONAL ATTAINMENT]))/_xlfn.STDEV.S(Prosperity_Table[EDUCATIONAL ATTAINMENT])</f>
        <v>0.38039124665469737</v>
      </c>
      <c r="J6" s="54">
        <f>(Prosperity_Table[[#This Row],[BUSINESS ECOSYSTEM]] - AVERAGE(Prosperity_Table[BUSINESS ECOSYSTEM]))/_xlfn.STDEV.S(Prosperity_Table[BUSINESS ECOSYSTEM])</f>
        <v>-0.53319265688948936</v>
      </c>
      <c r="K6" s="79">
        <f xml:space="preserve"> -1 * (Prosperity_Table[[#This Row],[UNEMPLOYMENT RATE]] - AVERAGE(Prosperity_Table[UNEMPLOYMENT RATE]))/_xlfn.STDEV.S(Prosperity_Table[UNEMPLOYMENT RATE])</f>
        <v>0.70613481264300459</v>
      </c>
      <c r="L6" s="54">
        <f xml:space="preserve"> -1 * (Prosperity_Table[[#This Row],[HOMELESSNESS RATE]] - AVERAGE(Prosperity_Table[HOMELESSNESS RATE]))/_xlfn.STDEV.S(Prosperity_Table[HOMELESSNESS RATE])</f>
        <v>-0.56366913380063233</v>
      </c>
      <c r="M6" s="79">
        <f t="shared" si="0"/>
        <v>-0.21883259993949439</v>
      </c>
    </row>
    <row r="7" spans="1:13" ht="16" x14ac:dyDescent="0.4">
      <c r="A7" s="6" t="s">
        <v>10</v>
      </c>
      <c r="B7" s="7" t="s">
        <v>11</v>
      </c>
      <c r="C7" s="25">
        <f>(Prosperity_Table[[#This Row],[LABOUR FORCE PARTICIPATION]] - AVERAGE(Prosperity_Table[LABOUR FORCE PARTICIPATION]))/_xlfn.STDEV.S(Prosperity_Table[LABOUR FORCE PARTICIPATION])</f>
        <v>0.15008712942804855</v>
      </c>
      <c r="D7" s="78">
        <f>(Prosperity_Table[[#This Row],[LABOUR PRODUCTIVITY]]-AVERAGE(Prosperity_Table[LABOUR PRODUCTIVITY]))/_xlfn.STDEV.S(Prosperity_Table[LABOUR PRODUCTIVITY])</f>
        <v>-1.0233878597680264</v>
      </c>
      <c r="E7" s="25">
        <f>(Prosperity_Table[[#This Row],[LARGE COMPANIES]] - AVERAGE(Prosperity_Table[LARGE COMPANIES]))/_xlfn.STDEV.S(Prosperity_Table[LARGE COMPANIES])</f>
        <v>-0.7097801622952552</v>
      </c>
      <c r="F7" s="25">
        <f>(Prosperity_Table[[#This Row],[AIRPORT CONNECTIVITY]] - AVERAGE(Prosperity_Table[AIRPORT CONNECTIVITY]))/_xlfn.STDEV.S(Prosperity_Table[AIRPORT CONNECTIVITY])</f>
        <v>-0.86133062323364551</v>
      </c>
      <c r="G7" s="42">
        <f>(Prosperity_Table[[#This Row],[CONVENTION CENTRE]] - AVERAGE(Prosperity_Table[CONVENTION CENTRE]))/_xlfn.STDEV.S(Prosperity_Table[CONVENTION CENTRE])</f>
        <v>-0.5411812633465557</v>
      </c>
      <c r="H7" s="25">
        <f>-1 * (Prosperity_Table[[#This Row],[UNIVERSITY]] - AVERAGE(Prosperity_Table[UNIVERSITY])) / _xlfn.STDEV.S(Prosperity_Table[UNIVERSITY])</f>
        <v>-1.5488214207721058</v>
      </c>
      <c r="I7" s="25">
        <f>(Prosperity_Table[[#This Row],[EDUCATIONAL ATTAINMENT]] - AVERAGE(Prosperity_Table[EDUCATIONAL ATTAINMENT]))/_xlfn.STDEV.S(Prosperity_Table[EDUCATIONAL ATTAINMENT])</f>
        <v>-1.4454867372878539</v>
      </c>
      <c r="J7" s="25">
        <f>(Prosperity_Table[[#This Row],[BUSINESS ECOSYSTEM]] - AVERAGE(Prosperity_Table[BUSINESS ECOSYSTEM]))/_xlfn.STDEV.S(Prosperity_Table[BUSINESS ECOSYSTEM])</f>
        <v>-0.67173189873867167</v>
      </c>
      <c r="K7" s="80">
        <f xml:space="preserve"> -1 * (Prosperity_Table[[#This Row],[UNEMPLOYMENT RATE]] - AVERAGE(Prosperity_Table[UNEMPLOYMENT RATE]))/_xlfn.STDEV.S(Prosperity_Table[UNEMPLOYMENT RATE])</f>
        <v>1.5620557976648313</v>
      </c>
      <c r="L7" s="25">
        <f xml:space="preserve"> -1 * (Prosperity_Table[[#This Row],[HOMELESSNESS RATE]] - AVERAGE(Prosperity_Table[HOMELESSNESS RATE]))/_xlfn.STDEV.S(Prosperity_Table[HOMELESSNESS RATE])</f>
        <v>0.64002272164613616</v>
      </c>
      <c r="M7" s="79">
        <f t="shared" si="0"/>
        <v>-0.60466015178964549</v>
      </c>
    </row>
    <row r="8" spans="1:13" ht="16" x14ac:dyDescent="0.4">
      <c r="A8" s="22" t="s">
        <v>14</v>
      </c>
      <c r="B8" s="23" t="s">
        <v>15</v>
      </c>
      <c r="C8" s="61">
        <f>(Prosperity_Table[[#This Row],[LABOUR FORCE PARTICIPATION]] - AVERAGE(Prosperity_Table[LABOUR FORCE PARTICIPATION]))/_xlfn.STDEV.S(Prosperity_Table[LABOUR FORCE PARTICIPATION])</f>
        <v>1.7260019884225584</v>
      </c>
      <c r="D8" s="77">
        <f>(Prosperity_Table[[#This Row],[LABOUR PRODUCTIVITY]]-AVERAGE(Prosperity_Table[LABOUR PRODUCTIVITY]))/_xlfn.STDEV.S(Prosperity_Table[LABOUR PRODUCTIVITY])</f>
        <v>1.1093868395804656</v>
      </c>
      <c r="E8" s="54">
        <f>(Prosperity_Table[[#This Row],[LARGE COMPANIES]] - AVERAGE(Prosperity_Table[LARGE COMPANIES]))/_xlfn.STDEV.S(Prosperity_Table[LARGE COMPANIES])</f>
        <v>-0.85920756488373007</v>
      </c>
      <c r="F8" s="54">
        <f>(Prosperity_Table[[#This Row],[AIRPORT CONNECTIVITY]] - AVERAGE(Prosperity_Table[AIRPORT CONNECTIVITY]))/_xlfn.STDEV.S(Prosperity_Table[AIRPORT CONNECTIVITY])</f>
        <v>-1.0104787831009434</v>
      </c>
      <c r="G8" s="72">
        <f>(Prosperity_Table[[#This Row],[CONVENTION CENTRE]] - AVERAGE(Prosperity_Table[CONVENTION CENTRE]))/_xlfn.STDEV.S(Prosperity_Table[CONVENTION CENTRE])</f>
        <v>-0.90231871163213306</v>
      </c>
      <c r="H8" s="54">
        <f>-1 * (Prosperity_Table[[#This Row],[UNIVERSITY]] - AVERAGE(Prosperity_Table[UNIVERSITY])) / _xlfn.STDEV.S(Prosperity_Table[UNIVERSITY])</f>
        <v>-1.5195408267598722</v>
      </c>
      <c r="I8" s="54">
        <f>(Prosperity_Table[[#This Row],[EDUCATIONAL ATTAINMENT]] - AVERAGE(Prosperity_Table[EDUCATIONAL ATTAINMENT]))/_xlfn.STDEV.S(Prosperity_Table[EDUCATIONAL ATTAINMENT])</f>
        <v>-0.31888117272755567</v>
      </c>
      <c r="J8" s="54">
        <f>(Prosperity_Table[[#This Row],[BUSINESS ECOSYSTEM]] - AVERAGE(Prosperity_Table[BUSINESS ECOSYSTEM]))/_xlfn.STDEV.S(Prosperity_Table[BUSINESS ECOSYSTEM])</f>
        <v>-0.61467617359081528</v>
      </c>
      <c r="K8" s="79">
        <f xml:space="preserve"> -1 * (Prosperity_Table[[#This Row],[UNEMPLOYMENT RATE]] - AVERAGE(Prosperity_Table[UNEMPLOYMENT RATE]))/_xlfn.STDEV.S(Prosperity_Table[UNEMPLOYMENT RATE])</f>
        <v>-0.83452296039628104</v>
      </c>
      <c r="L8" s="54">
        <f xml:space="preserve"> -1 * (Prosperity_Table[[#This Row],[HOMELESSNESS RATE]] - AVERAGE(Prosperity_Table[HOMELESSNESS RATE]))/_xlfn.STDEV.S(Prosperity_Table[HOMELESSNESS RATE])</f>
        <v>0.40647057058930047</v>
      </c>
      <c r="M8" s="79">
        <f t="shared" si="0"/>
        <v>-0.35671111962559998</v>
      </c>
    </row>
    <row r="9" spans="1:13" ht="16" x14ac:dyDescent="0.4">
      <c r="A9" s="9" t="s">
        <v>12</v>
      </c>
      <c r="B9" s="40" t="s">
        <v>13</v>
      </c>
      <c r="C9" s="30">
        <f>(Prosperity_Table[[#This Row],[LABOUR FORCE PARTICIPATION]] - AVERAGE(Prosperity_Table[LABOUR FORCE PARTICIPATION]))/_xlfn.STDEV.S(Prosperity_Table[LABOUR FORCE PARTICIPATION])</f>
        <v>-1.6884802060655422</v>
      </c>
      <c r="D9" s="30">
        <f>(Prosperity_Table[[#This Row],[LABOUR PRODUCTIVITY]]-AVERAGE(Prosperity_Table[LABOUR PRODUCTIVITY]))/_xlfn.STDEV.S(Prosperity_Table[LABOUR PRODUCTIVITY])</f>
        <v>-1.0921870436179777</v>
      </c>
      <c r="E9" s="30">
        <f>(Prosperity_Table[[#This Row],[LARGE COMPANIES]] - AVERAGE(Prosperity_Table[LARGE COMPANIES]))/_xlfn.STDEV.S(Prosperity_Table[LARGE COMPANIES])</f>
        <v>-0.85920756488373007</v>
      </c>
      <c r="F9" s="30">
        <f>(Prosperity_Table[[#This Row],[AIRPORT CONNECTIVITY]] - AVERAGE(Prosperity_Table[AIRPORT CONNECTIVITY]))/_xlfn.STDEV.S(Prosperity_Table[AIRPORT CONNECTIVITY])</f>
        <v>-1.0999676790213222</v>
      </c>
      <c r="G9" s="43">
        <f>(Prosperity_Table[[#This Row],[CONVENTION CENTRE]] - AVERAGE(Prosperity_Table[CONVENTION CENTRE]))/_xlfn.STDEV.S(Prosperity_Table[CONVENTION CENTRE])</f>
        <v>-0.90231871163213306</v>
      </c>
      <c r="H9" s="30">
        <f>-1 * (Prosperity_Table[[#This Row],[UNIVERSITY]] - AVERAGE(Prosperity_Table[UNIVERSITY])) / _xlfn.STDEV.S(Prosperity_Table[UNIVERSITY])</f>
        <v>-0.21655439321547756</v>
      </c>
      <c r="I9" s="30">
        <f>(Prosperity_Table[[#This Row],[EDUCATIONAL ATTAINMENT]] - AVERAGE(Prosperity_Table[EDUCATIONAL ATTAINMENT]))/_xlfn.STDEV.S(Prosperity_Table[EDUCATIONAL ATTAINMENT])</f>
        <v>-1.0829010383489071</v>
      </c>
      <c r="J9" s="30">
        <f>(Prosperity_Table[[#This Row],[BUSINESS ECOSYSTEM]] - AVERAGE(Prosperity_Table[BUSINESS ECOSYSTEM]))/_xlfn.STDEV.S(Prosperity_Table[BUSINESS ECOSYSTEM])</f>
        <v>-0.71946535714527471</v>
      </c>
      <c r="K9" s="82">
        <f xml:space="preserve"> -1 * (Prosperity_Table[[#This Row],[UNEMPLOYMENT RATE]] - AVERAGE(Prosperity_Table[UNEMPLOYMENT RATE]))/_xlfn.STDEV.S(Prosperity_Table[UNEMPLOYMENT RATE])</f>
        <v>1.0485032066517352</v>
      </c>
      <c r="L9" s="30">
        <f xml:space="preserve"> -1 * (Prosperity_Table[[#This Row],[HOMELESSNESS RATE]] - AVERAGE(Prosperity_Table[HOMELESSNESS RATE]))/_xlfn.STDEV.S(Prosperity_Table[HOMELESSNESS RATE])</f>
        <v>0.49629832099577575</v>
      </c>
      <c r="M9" s="83">
        <f t="shared" si="0"/>
        <v>-0.6836359619463106</v>
      </c>
    </row>
    <row r="11" spans="1:13" ht="30" x14ac:dyDescent="0.45">
      <c r="A11" s="37" t="s">
        <v>76</v>
      </c>
      <c r="C11" s="15" t="s">
        <v>196</v>
      </c>
      <c r="D11" s="15" t="s">
        <v>197</v>
      </c>
      <c r="E11" s="15" t="s">
        <v>198</v>
      </c>
      <c r="F11" s="15" t="s">
        <v>200</v>
      </c>
      <c r="G11" s="15" t="s">
        <v>201</v>
      </c>
      <c r="H11" s="15" t="s">
        <v>202</v>
      </c>
      <c r="I11" s="15" t="s">
        <v>203</v>
      </c>
      <c r="J11" s="15" t="s">
        <v>204</v>
      </c>
      <c r="K11" s="15" t="s">
        <v>205</v>
      </c>
      <c r="L11" s="15" t="s">
        <v>206</v>
      </c>
    </row>
    <row r="13" spans="1:13" ht="18.5" x14ac:dyDescent="0.45">
      <c r="A13" s="60" t="s">
        <v>166</v>
      </c>
      <c r="C13" s="81">
        <v>0.08</v>
      </c>
      <c r="D13" s="81">
        <v>0.12</v>
      </c>
      <c r="E13" s="81">
        <v>0.15</v>
      </c>
      <c r="F13" s="81">
        <v>0.1</v>
      </c>
      <c r="G13" s="81">
        <v>0.05</v>
      </c>
      <c r="H13" s="81">
        <v>0.12</v>
      </c>
      <c r="I13" s="81">
        <v>0.1</v>
      </c>
      <c r="J13" s="81">
        <v>0.15</v>
      </c>
      <c r="K13" s="81">
        <v>0.08</v>
      </c>
      <c r="L13" s="81">
        <v>0.05</v>
      </c>
      <c r="M13" s="59">
        <v>1</v>
      </c>
    </row>
    <row r="15" spans="1:13" ht="73.5" x14ac:dyDescent="0.45">
      <c r="A15" s="38" t="s">
        <v>78</v>
      </c>
      <c r="C15" s="15" t="s">
        <v>209</v>
      </c>
      <c r="E15" s="15" t="s">
        <v>210</v>
      </c>
      <c r="F15" s="15" t="s">
        <v>211</v>
      </c>
      <c r="G15" s="15" t="s">
        <v>270</v>
      </c>
      <c r="H15" s="15" t="s">
        <v>212</v>
      </c>
      <c r="I15" s="15" t="s">
        <v>213</v>
      </c>
      <c r="J15" s="15" t="s">
        <v>214</v>
      </c>
      <c r="K15" s="15" t="s">
        <v>215</v>
      </c>
      <c r="L15" s="15" t="s">
        <v>216</v>
      </c>
      <c r="M15" s="15" t="s">
        <v>217</v>
      </c>
    </row>
  </sheetData>
  <conditionalFormatting sqref="C2:C9">
    <cfRule type="aboveAverage" dxfId="25" priority="25" aboveAverage="0"/>
    <cfRule type="aboveAverage" dxfId="24" priority="26"/>
    <cfRule type="cellIs" dxfId="23" priority="27" operator="greaterThan">
      <formula>0</formula>
    </cfRule>
    <cfRule type="cellIs" dxfId="22" priority="28" operator="greaterThan">
      <formula>1</formula>
    </cfRule>
  </conditionalFormatting>
  <conditionalFormatting sqref="D2:D9">
    <cfRule type="aboveAverage" dxfId="21" priority="23" aboveAverage="0"/>
    <cfRule type="aboveAverage" dxfId="20" priority="24"/>
  </conditionalFormatting>
  <conditionalFormatting sqref="E2:E9">
    <cfRule type="aboveAverage" dxfId="19" priority="21" aboveAverage="0"/>
    <cfRule type="aboveAverage" dxfId="18" priority="22"/>
  </conditionalFormatting>
  <conditionalFormatting sqref="F2:F9">
    <cfRule type="aboveAverage" dxfId="17" priority="19" aboveAverage="0"/>
    <cfRule type="aboveAverage" dxfId="16" priority="20"/>
  </conditionalFormatting>
  <conditionalFormatting sqref="G2">
    <cfRule type="aboveAverage" dxfId="15" priority="17" aboveAverage="0"/>
    <cfRule type="aboveAverage" dxfId="14" priority="18"/>
  </conditionalFormatting>
  <conditionalFormatting sqref="G2:G9">
    <cfRule type="aboveAverage" dxfId="13" priority="15" aboveAverage="0"/>
    <cfRule type="aboveAverage" dxfId="12" priority="16"/>
  </conditionalFormatting>
  <conditionalFormatting sqref="H2:H9">
    <cfRule type="aboveAverage" dxfId="11" priority="1" aboveAverage="0"/>
    <cfRule type="aboveAverage" dxfId="10" priority="2"/>
  </conditionalFormatting>
  <conditionalFormatting sqref="I2:I9">
    <cfRule type="aboveAverage" dxfId="9" priority="11" aboveAverage="0"/>
    <cfRule type="aboveAverage" dxfId="8" priority="12"/>
  </conditionalFormatting>
  <conditionalFormatting sqref="J2:J9">
    <cfRule type="aboveAverage" dxfId="7" priority="9" aboveAverage="0"/>
    <cfRule type="aboveAverage" dxfId="6" priority="10"/>
  </conditionalFormatting>
  <conditionalFormatting sqref="K2:K9">
    <cfRule type="aboveAverage" dxfId="5" priority="7" aboveAverage="0"/>
    <cfRule type="aboveAverage" dxfId="4" priority="8"/>
  </conditionalFormatting>
  <conditionalFormatting sqref="L2:L9">
    <cfRule type="aboveAverage" dxfId="3" priority="5" aboveAverage="0"/>
    <cfRule type="aboveAverage" dxfId="2" priority="6"/>
  </conditionalFormatting>
  <conditionalFormatting sqref="M2:M9">
    <cfRule type="aboveAverage" dxfId="1" priority="3" aboveAverage="0"/>
    <cfRule type="aboveAverage" dxfId="0" priority="4"/>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B5ADFC-AD19-4985-A219-9F99FC7E40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Cities Table</vt:lpstr>
      <vt:lpstr>Livability Raw Data Table</vt:lpstr>
      <vt:lpstr>Lovability Raw Data Table</vt:lpstr>
      <vt:lpstr>Prosperity Raw Data Table</vt:lpstr>
      <vt:lpstr>Overall City Z-Score Table</vt:lpstr>
      <vt:lpstr>Livability Z-Score Table</vt:lpstr>
      <vt:lpstr>Lovability Z-Score Table</vt:lpstr>
      <vt:lpstr>Prosperity Z-Score Table</vt:lpstr>
    </vt:vector>
  </TitlesOfParts>
  <Company>Entain Group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Kelly</dc:creator>
  <cp:lastModifiedBy>Samuel Kelly</cp:lastModifiedBy>
  <dcterms:created xsi:type="dcterms:W3CDTF">2025-12-09T19:31:47Z</dcterms:created>
  <dcterms:modified xsi:type="dcterms:W3CDTF">2026-01-20T03:51:47Z</dcterms:modified>
</cp:coreProperties>
</file>